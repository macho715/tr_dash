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0430fedddf470b" /></Relationships>
</file>

<file path=xl/workbook.xml><?xml version="1.0" encoding="utf-8"?>
<x:workbook xmlns:x="http://schemas.openxmlformats.org/spreadsheetml/2006/main">
  <x:sheets>
    <x:sheet xmlns:r="http://schemas.openxmlformats.org/officeDocument/2006/relationships" name="00_README" sheetId="1" r:id="R56a13eaf20fd43be"/>
    <x:sheet xmlns:r="http://schemas.openxmlformats.org/officeDocument/2006/relationships" name="01_Assumptions" sheetId="2" r:id="R19caad04d31f46d7"/>
    <x:sheet xmlns:r="http://schemas.openxmlformats.org/officeDocument/2006/relationships" name="02_TR1-3_Events" sheetId="3" r:id="R3192af4b814a4271"/>
    <x:sheet xmlns:r="http://schemas.openxmlformats.org/officeDocument/2006/relationships" name="03_TR1-3_Evidence" sheetId="4" r:id="R63fd5b64c98149b4"/>
    <x:sheet xmlns:r="http://schemas.openxmlformats.org/officeDocument/2006/relationships" name="04_TR1-3_BaselineVsActual" sheetId="5" r:id="R47d2b40ee9524f3f"/>
    <x:sheet xmlns:r="http://schemas.openxmlformats.org/officeDocument/2006/relationships" name="05_TR4-TR7_Reschedule" sheetId="6" r:id="Rd994ab6ce9ee4e9b"/>
    <x:sheet xmlns:r="http://schemas.openxmlformats.org/officeDocument/2006/relationships" name="06_TR1-TR7_Summary" sheetId="7" r:id="Re92000b476e54120"/>
    <x:sheet xmlns:r="http://schemas.openxmlformats.org/officeDocument/2006/relationships" name="07_Float" sheetId="8" r:id="Ra3608ec8a1b34a9f"/>
  </x:sheets>
  <x:definedNames>
    <x:definedName name="_xlnm._FilterDatabase" localSheetId="1" hidden="1">'01_Assumptions'!$A$1:$C$6</x:definedName>
    <x:definedName name="_xlnm._FilterDatabase" localSheetId="2" hidden="1">'02_TR1-3_Events'!$A$1:$M$4</x:definedName>
    <x:definedName name="_xlnm._FilterDatabase" localSheetId="3" hidden="1">'03_TR1-3_Evidence'!$A$1:$D$66</x:definedName>
    <x:definedName name="_xlnm._FilterDatabase" localSheetId="4" hidden="1">'04_TR1-3_BaselineVsActual'!$A$1:$G$9</x:definedName>
    <x:definedName name="_xlnm._FilterDatabase" localSheetId="5" hidden="1">'05_TR4-TR7_Reschedule'!$A$1:$O$5</x:definedName>
    <x:definedName name="_xlnm._FilterDatabase" localSheetId="6" hidden="1">'06_TR1-TR7_Summary'!$A$1:$H$8</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yyyy-mm-dd h:mm:ss"/>
    <x:numFmt numFmtId="165" formatCode="yyyy-mm-dd hh:mm"/>
    <x:numFmt numFmtId="166" formatCode="0.0"/>
    <x:numFmt numFmtId="167" formatCode="0.000"/>
    <x:numFmt numFmtId="168" formatCode="yyyy-mm-dd"/>
  </x:numFmts>
  <x:fonts count="3">
    <x:font>
      <x:sz val="11"/>
      <x:color theme="1"/>
      <x:name val="Calibri"/>
      <x:family val="2"/>
      <x:scheme val="minor"/>
    </x:font>
    <x:font>
      <x:b/>
      <x:sz val="14"/>
    </x:font>
    <x:font>
      <x:b/>
      <x:color rgb="00FFFFFF"/>
    </x:font>
  </x:fonts>
  <x:fills count="3">
    <x:fill>
      <x:patternFill patternType="none"/>
    </x:fill>
    <x:fill>
      <x:patternFill patternType="gray125"/>
    </x:fill>
    <x:fill>
      <x:patternFill patternType="solid">
        <x:fgColor rgb="001F4E79"/>
      </x:patternFill>
    </x:fill>
  </x:fills>
  <x:borders count="2">
    <x:border>
      <x:left/>
      <x:right/>
      <x:top/>
      <x:bottom/>
      <x:diagonal/>
    </x:border>
    <x:border>
      <x:left style="thin">
        <x:color rgb="00D9D9D9"/>
      </x:left>
      <x:right style="thin">
        <x:color rgb="00D9D9D9"/>
      </x:right>
      <x:top style="thin">
        <x:color rgb="00D9D9D9"/>
      </x:top>
      <x:bottom style="thin">
        <x:color rgb="00D9D9D9"/>
      </x:bottom>
    </x:border>
  </x:borders>
  <x:cellStyleXfs count="1">
    <x:xf numFmtId="0" fontId="0" fillId="0" borderId="0"/>
  </x:cellStyleXfs>
  <x:cellXfs count="13">
    <x:xf numFmtId="0" fontId="0" fillId="0" borderId="0" xfId="0"/>
    <x:xf numFmtId="0" fontId="1" fillId="0" borderId="0" xfId="0"/>
    <x:xf numFmtId="0" fontId="2" fillId="2" borderId="1" xfId="0" applyAlignment="1">
      <x:alignment horizontal="center" vertical="center" wrapText="1"/>
    </x:xf>
    <x:xf numFmtId="0" fontId="0" fillId="0" borderId="1" xfId="0" applyAlignment="1">
      <x:alignment vertical="top" wrapText="1"/>
    </x:xf>
    <x:xf numFmtId="165" fontId="0" fillId="0" borderId="1" xfId="0" applyAlignment="1">
      <x:alignment vertical="top" wrapText="1"/>
    </x:xf>
    <x:xf numFmtId="2" fontId="0" fillId="0" borderId="1" xfId="0" applyAlignment="1">
      <x:alignment vertical="top" wrapText="1"/>
    </x:xf>
    <x:xf numFmtId="167" fontId="0" fillId="0" borderId="1" xfId="0" applyAlignment="1">
      <x:alignment vertical="top" wrapText="1"/>
    </x:xf>
    <x:xf numFmtId="166" fontId="0" fillId="0" borderId="1" xfId="0" applyAlignment="1">
      <x:alignment vertical="top" wrapText="1"/>
    </x:xf>
    <x:xf numFmtId="168" fontId="0" fillId="0" borderId="1" xfId="0" applyAlignment="1">
      <x:alignment vertical="top" wrapText="1"/>
    </x:xf>
    <x:xf numFmtId="1" fontId="0" fillId="0" borderId="1" xfId="0" applyAlignment="1">
      <x:alignment vertical="top" wrapText="1"/>
    </x:xf>
    <x:xf numFmtId="0" fontId="2" fillId="2" borderId="0" xfId="0" applyAlignment="1">
      <x:alignment horizontal="center" vertical="center"/>
    </x:xf>
    <x:xf numFmtId="168" fontId="0" fillId="0" borderId="0" xfId="0"/>
    <x:xf numFmtId="2"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6c65f67c85841c0" /><Relationship Type="http://schemas.openxmlformats.org/officeDocument/2006/relationships/theme" Target="/xl/theme/theme1.xml" Id="R1ae8f16381bc4ab1" /><Relationship Type="http://schemas.openxmlformats.org/officeDocument/2006/relationships/sharedStrings" Target="/xl/sharedStrings.xml" Id="R558395823deb455b" /><Relationship Type="http://schemas.openxmlformats.org/officeDocument/2006/relationships/worksheet" Target="/xl/worksheets/sheet1.xml" Id="R56a13eaf20fd43be" /><Relationship Type="http://schemas.openxmlformats.org/officeDocument/2006/relationships/worksheet" Target="/xl/worksheets/sheet2.xml" Id="R19caad04d31f46d7" /><Relationship Type="http://schemas.openxmlformats.org/officeDocument/2006/relationships/worksheet" Target="/xl/worksheets/sheet3.xml" Id="R3192af4b814a4271" /><Relationship Type="http://schemas.openxmlformats.org/officeDocument/2006/relationships/worksheet" Target="/xl/worksheets/sheet4.xml" Id="R63fd5b64c98149b4" /><Relationship Type="http://schemas.openxmlformats.org/officeDocument/2006/relationships/worksheet" Target="/xl/worksheets/sheet5.xml" Id="R47d2b40ee9524f3f" /><Relationship Type="http://schemas.openxmlformats.org/officeDocument/2006/relationships/worksheet" Target="/xl/worksheets/sheet6.xml" Id="Rd994ab6ce9ee4e9b" /><Relationship Type="http://schemas.openxmlformats.org/officeDocument/2006/relationships/worksheet" Target="/xl/worksheets/sheet7.xml" Id="Re92000b476e54120" /><Relationship Type="http://schemas.openxmlformats.org/officeDocument/2006/relationships/worksheet" Target="/xl/worksheets/sheet8.xml" Id="Ra3608ec8a1b34a9f" /></Relationships>
</file>

<file path=xl/tables/table1.xml><?xml version="1.0" encoding="utf-8"?>
<x:table xmlns:x="http://schemas.openxmlformats.org/spreadsheetml/2006/main" id="1" name="tbl_Assumptions" displayName="tbl_Assumptions" ref="A1:C6" headerRowCount="1">
  <x:autoFilter ref="A1:C6"/>
  <x:tableColumns count="3">
    <x:tableColumn id="1" name="Parameter"/>
    <x:tableColumn id="2" name="Value"/>
    <x:tableColumn id="3" name="Notes"/>
  </x:tableColumns>
  <x:tableStyleInfo name="TableStyleMedium9" showRowStripes="1"/>
</x:table>
</file>

<file path=xl/tables/table2.xml><?xml version="1.0" encoding="utf-8"?>
<x:table xmlns:x="http://schemas.openxmlformats.org/spreadsheetml/2006/main" id="2" name="tbl_TR1_TR3_Events" displayName="tbl_TR1_TR3_Events" ref="A1:M4" headerRowCount="1">
  <x:autoFilter ref="A1:M4"/>
  <x:tableColumns count="13">
    <x:tableColumn id="1" name="Trip"/>
    <x:tableColumn id="2" name="MZP_ETA"/>
    <x:tableColumn id="3" name="MZP_Secured"/>
    <x:tableColumn id="4" name="MZP_ETD"/>
    <x:tableColumn id="5" name="AGI_ETA_or_Anchor"/>
    <x:tableColumn id="6" name="AGI_Secured"/>
    <x:tableColumn id="7" name="AGI_CastOff_Return"/>
    <x:tableColumn id="8" name="Next_MZP_Secured"/>
    <x:tableColumn id="9" name="MZP_Wait_days"/>
    <x:tableColumn id="10" name="MZP_Turn_days"/>
    <x:tableColumn id="11" name="Sail_MZP_to_AGI_hr"/>
    <x:tableColumn id="12" name="Return_to_Secure_days"/>
    <x:tableColumn id="13" name="MZP_Total_Turn_incl_Wait_days"/>
  </x:tableColumns>
  <x:tableStyleInfo name="TableStyleMedium9" showRowStripes="1"/>
</x:table>
</file>

<file path=xl/tables/table3.xml><?xml version="1.0" encoding="utf-8"?>
<x:table xmlns:x="http://schemas.openxmlformats.org/spreadsheetml/2006/main" id="3" name="tbl_Evidence" displayName="tbl_Evidence" ref="A1:D66" headerRowCount="1">
  <x:autoFilter ref="A1:D66"/>
  <x:tableColumns count="4">
    <x:tableColumn id="1" name="Trip"/>
    <x:tableColumn id="2" name="Datetime"/>
    <x:tableColumn id="3" name="Sender"/>
    <x:tableColumn id="4" name="Message"/>
  </x:tableColumns>
  <x:tableStyleInfo name="TableStyleMedium9" showRowStripes="1"/>
</x:table>
</file>

<file path=xl/tables/table4.xml><?xml version="1.0" encoding="utf-8"?>
<x:table xmlns:x="http://schemas.openxmlformats.org/spreadsheetml/2006/main" id="4" name="tbl_BaselineVsActual" displayName="tbl_BaselineVsActual" ref="A1:G9" headerRowCount="1">
  <x:autoFilter ref="A1:G9"/>
  <x:tableColumns count="7">
    <x:tableColumn id="1" name="Trip"/>
    <x:tableColumn id="2" name="Milestone"/>
    <x:tableColumn id="3" name="Origin_Plan"/>
    <x:tableColumn id="4" name="Final_Plan"/>
    <x:tableColumn id="5" name="Actual_or_Forecast"/>
    <x:tableColumn id="6" name="Var_vs_Origin_days"/>
    <x:tableColumn id="7" name="Var_vs_Final_days"/>
  </x:tableColumns>
  <x:tableStyleInfo name="TableStyleMedium9" showRowStripes="1"/>
</x:table>
</file>

<file path=xl/tables/table5.xml><?xml version="1.0" encoding="utf-8"?>
<x:table xmlns:x="http://schemas.openxmlformats.org/spreadsheetml/2006/main" id="5" name="tbl_TR4_TR7_Resched" displayName="tbl_TR4_TR7_Resched" ref="A1:O5" headerRowCount="1">
  <x:autoFilter ref="A1:O5"/>
  <x:tableColumns count="15">
    <x:tableColumn id="1" name="Unit"/>
    <x:tableColumn id="2" name="MZP_Secured"/>
    <x:tableColumn id="3" name="MZP_ETD"/>
    <x:tableColumn id="4" name="AGI_ETA"/>
    <x:tableColumn id="5" name="AGI_CastOff_Return"/>
    <x:tableColumn id="6" name="Next_MZP_Secured"/>
    <x:tableColumn id="7" name="Assumed_LoadIn_Start"/>
    <x:tableColumn id="8" name="Turning_Start"/>
    <x:tableColumn id="9" name="Turning_Finish"/>
    <x:tableColumn id="10" name="Jacking_Down"/>
    <x:tableColumn id="11" name="Orig_SailAway"/>
    <x:tableColumn id="12" name="Orig_LoadIn"/>
    <x:tableColumn id="13" name="Orig_Jacking"/>
    <x:tableColumn id="14" name="Var_SailAway_vs_Orig_days"/>
    <x:tableColumn id="15" name="Var_Jacking_vs_Orig_days"/>
  </x:tableColumns>
  <x:tableStyleInfo name="TableStyleMedium9" showRowStripes="1"/>
</x:table>
</file>

<file path=xl/tables/table6.xml><?xml version="1.0" encoding="utf-8"?>
<x:table xmlns:x="http://schemas.openxmlformats.org/spreadsheetml/2006/main" id="6" name="tbl_Summary" displayName="tbl_Summary" ref="A1:H8" headerRowCount="1">
  <x:autoFilter ref="A1:H8"/>
  <x:tableColumns count="8">
    <x:tableColumn id="1" name="Unit"/>
    <x:tableColumn id="2" name="Orig_SailAway"/>
    <x:tableColumn id="3" name="Actual_or_Forecast_SailAway"/>
    <x:tableColumn id="4" name="Var_SailAway_days"/>
    <x:tableColumn id="5" name="Orig_Jacking"/>
    <x:tableColumn id="6" name="Actual_or_Forecast_Jacking"/>
    <x:tableColumn id="7" name="Var_Jacking_days"/>
    <x:tableColumn id="8" name="Buffer_to_OrigFinish_days"/>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896a861693e4fc7" /></Relationships>
</file>

<file path=xl/worksheets/_rels/sheet3.xml.rels>&#65279;<?xml version="1.0" encoding="utf-8"?><Relationships xmlns="http://schemas.openxmlformats.org/package/2006/relationships"><Relationship Type="http://schemas.openxmlformats.org/officeDocument/2006/relationships/table" Target="/xl/tables/table2.xml" Id="Rc53995960bf947e3" /></Relationships>
</file>

<file path=xl/worksheets/_rels/sheet4.xml.rels>&#65279;<?xml version="1.0" encoding="utf-8"?><Relationships xmlns="http://schemas.openxmlformats.org/package/2006/relationships"><Relationship Type="http://schemas.openxmlformats.org/officeDocument/2006/relationships/table" Target="/xl/tables/table3.xml" Id="R2138460136854c36" /></Relationships>
</file>

<file path=xl/worksheets/_rels/sheet5.xml.rels>&#65279;<?xml version="1.0" encoding="utf-8"?><Relationships xmlns="http://schemas.openxmlformats.org/package/2006/relationships"><Relationship Type="http://schemas.openxmlformats.org/officeDocument/2006/relationships/table" Target="/xl/tables/table4.xml" Id="Rb4f23aafa2df478d" /></Relationships>
</file>

<file path=xl/worksheets/_rels/sheet6.xml.rels>&#65279;<?xml version="1.0" encoding="utf-8"?><Relationships xmlns="http://schemas.openxmlformats.org/package/2006/relationships"><Relationship Type="http://schemas.openxmlformats.org/officeDocument/2006/relationships/table" Target="/xl/tables/table5.xml" Id="R67e32c5c4ae7494c" /></Relationships>
</file>

<file path=xl/worksheets/_rels/sheet7.xml.rels>&#65279;<?xml version="1.0" encoding="utf-8"?><Relationships xmlns="http://schemas.openxmlformats.org/package/2006/relationships"><Relationship Type="http://schemas.openxmlformats.org/officeDocument/2006/relationships/table" Target="/xl/tables/table6.xml" Id="R7d7c88f8814f4fc3" /></Relationships>
</file>

<file path=xl/worksheets/sheet1.xml><?xml version="1.0" encoding="utf-8"?>
<x:worksheet xmlns:x="http://schemas.openxmlformats.org/spreadsheetml/2006/main">
  <x:sheetFormatPr defaultRowHeight="15"/>
  <x:cols>
    <x:col min="1" max="1" width="120" customWidth="1"/>
  </x:cols>
  <x:sheetData>
    <x:row r="1" ht="24" customHeight="1">
      <x:c r="A1" s="1" t="inlineStr">
        <x:is>
          <x:t xml:space="preserve">AGI TR1~TR7 Schedule / Delay Analysis (WA 기반) - v2</x:t>
        </x:is>
      </x:c>
    </x:row>
    <x:row r="2">
      <x:c r="A2" t="inlineStr">
        <x:is>
          <x:t xml:space="preserve"/>
        </x:is>
      </x:c>
    </x:row>
    <x:row r="3">
      <x:c r="A3" t="inlineStr">
        <x:is>
          <x:t xml:space="preserve">SSOT (Single Source of Truth)</x:t>
        </x:is>
      </x:c>
    </x:row>
    <x:row r="4">
      <x:c r="A4" t="inlineStr">
        <x:is>
          <x:t xml:space="preserve">- Baseline 일정: agi tr origin schedule.json (Origin Plan) + agi tr final schedule_backup_20260128.json (Final Plan)</x:t>
        </x:is>
      </x:c>
    </x:row>
    <x:row r="5">
      <x:c r="A5" t="inlineStr">
        <x:is>
          <x:t xml:space="preserve">- Actual 증빙: WhatsApp export (‎AGI.TR Operation님과의 WhatsApp 대화.txt) 내 타임스탬프/선장 리포트</x:t>
        </x:is>
      </x:c>
    </x:row>
    <x:row r="6">
      <x:c r="A6" t="inlineStr">
        <x:is>
          <x:t xml:space="preserve"/>
        </x:is>
      </x:c>
    </x:row>
    <x:row r="7">
      <x:c r="A7" t="inlineStr">
        <x:is>
          <x:t xml:space="preserve">핵심 가정(요약)</x:t>
        </x:is>
      </x:c>
    </x:row>
    <x:row r="8">
      <x:c r="A8" t="inlineStr">
        <x:is>
          <x:t xml:space="preserve">- TR3 MZP 출항(ETD): 2026-02-19 03:00 (User instruction)</x:t>
        </x:is>
      </x:c>
    </x:row>
    <x:row r="9">
      <x:c r="A9" t="inlineStr">
        <x:is>
          <x:t xml:space="preserve">- AGI 작업기간(Load-in 포함): 2.00 days (Origin 일정 가정)</x:t>
        </x:is>
      </x:c>
    </x:row>
    <x:row r="10">
      <x:c r="A10" t="inlineStr">
        <x:is>
          <x:t xml:space="preserve">- TR4~TR7: TR1~TR3 실적 평균치 기반으로 MZP Turn(접안~출항) + Return-to-Secure(AGI 출항~MZP 접안) 반영</x:t>
        </x:is>
      </x:c>
    </x:row>
    <x:row r="11">
      <x:c r="A11" t="inlineStr">
        <x:is>
          <x:t xml:space="preserve"/>
        </x:is>
      </x:c>
    </x:row>
    <x:row r="12">
      <x:c r="A12" t="inlineStr">
        <x:is>
          <x:t xml:space="preserve">주의</x:t>
        </x:is>
      </x:c>
    </x:row>
    <x:row r="13">
      <x:c r="A13" t="inlineStr">
        <x:is>
          <x:t xml:space="preserve">- 본 파일의 일부 날짜/시간은 WhatsApp 메시지 기반이며, 항만/선박 트래킹 사이트 공식 로그와 100% 일치하지 않을 수 있음</x:t>
        </x:is>
      </x:c>
    </x:row>
    <x:row r="14">
      <x:c r="A14" t="inlineStr">
        <x:is>
          <x:t xml:space="preserve">- TR4~TR7는 '평균치 기반 Forecast'로, 실제 기상/선석/통관/작업준비 상태에 따라 변동 가능</x:t>
        </x:is>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60" customWidth="1"/>
    <x:col min="2" max="2" width="21" customWidth="1"/>
    <x:col min="3" max="3" width="43" customWidth="1"/>
  </x:cols>
  <x:sheetData>
    <x:row r="1">
      <x:c r="A1" s="2" t="inlineStr">
        <x:is>
          <x:t xml:space="preserve">Parameter</x:t>
        </x:is>
      </x:c>
      <x:c r="B1" s="2" t="inlineStr">
        <x:is>
          <x:t xml:space="preserve">Value</x:t>
        </x:is>
      </x:c>
      <x:c r="C1" s="2" t="inlineStr">
        <x:is>
          <x:t xml:space="preserve">Notes</x:t>
        </x:is>
      </x:c>
    </x:row>
    <x:row r="2">
      <x:c r="A2" s="3" t="inlineStr">
        <x:is>
          <x:t xml:space="preserve">TR3_ETD_MZP (assumed)</x:t>
        </x:is>
      </x:c>
      <x:c r="B2" s="4" t="n">
        <x:v>46072.125</x:v>
      </x:c>
      <x:c r="C2" s="3" t="inlineStr">
        <x:is>
          <x:t xml:space="preserve">User instruction</x:t>
        </x:is>
      </x:c>
    </x:row>
    <x:row r="3">
      <x:c r="A3" s="3" t="inlineStr">
        <x:is>
          <x:t xml:space="preserve">AGI_ops_days (Load-in 포함)</x:t>
        </x:is>
      </x:c>
      <x:c r="B3" s="5" t="n">
        <x:v>2</x:v>
      </x:c>
      <x:c r="C3" s="3" t="inlineStr">
        <x:is>
          <x:t xml:space="preserve">Origin schedule assumption</x:t>
        </x:is>
      </x:c>
    </x:row>
    <x:row r="4">
      <x:c r="A4" s="3" t="inlineStr">
        <x:is>
          <x:t xml:space="preserve">Sail_time_avg_days (MZP-&gt;AGI)</x:t>
        </x:is>
      </x:c>
      <x:c r="B4" s="6">
        <x:f>AVERAGE('02_TR1-3_Events'!K2:K3)/24</x:f>
        <x:v>0.40416666666351375</x:v>
      </x:c>
      <x:c r="C4" s="3" t="inlineStr">
        <x:is>
          <x:t xml:space="preserve">Avg of TR1~TR2 actual (from Events sheet)</x:t>
        </x:is>
      </x:c>
    </x:row>
    <x:row r="5">
      <x:c r="A5" s="3" t="inlineStr">
        <x:is>
          <x:t xml:space="preserve">Return_to_secure_avg_days (AGI CastOff -&gt; next MZP Secured)</x:t>
        </x:is>
      </x:c>
      <x:c r="B5" s="6">
        <x:f>AVERAGE('02_TR1-3_Events'!L2:L3)</x:f>
        <x:v>2.6118055555525643</x:v>
      </x:c>
      <x:c r="C5" s="3" t="inlineStr">
        <x:is>
          <x:t xml:space="preserve">Avg of TR1~TR2 (from Events sheet)</x:t>
        </x:is>
      </x:c>
    </x:row>
    <x:row r="6">
      <x:c r="A6" s="3" t="inlineStr">
        <x:is>
          <x:t xml:space="preserve">MZP_turn_avg_days (MZP Secured -&gt; ETD)</x:t>
        </x:is>
      </x:c>
      <x:c r="B6" s="6">
        <x:f>AVERAGE('02_TR1-3_Events'!J2:J4)</x:f>
        <x:v>2.7953703703703163</x:v>
      </x:c>
      <x:c r="C6" s="3" t="inlineStr">
        <x:is>
          <x:t xml:space="preserve">Avg of TR1~TR3 (from Events sheet)</x:t>
        </x:is>
      </x:c>
    </x:row>
  </x:sheetData>
  <x:pageMargins left="0.7" right="0.7" top="0.75" bottom="0.75" header="0.3" footer="0.3"/>
  <x:tableParts count="1">
    <x:tablePart xmlns:r="http://schemas.openxmlformats.org/officeDocument/2006/relationships" r:id="R9896a861693e4fc7"/>
  </x:tableParts>
</x:worksheet>
</file>

<file path=xl/worksheets/sheet3.xml><?xml version="1.0" encoding="utf-8"?>
<x:worksheet xmlns:x="http://schemas.openxmlformats.org/spreadsheetml/2006/main">
  <x:sheetFormatPr defaultRowHeight="15"/>
  <x:cols>
    <x:col min="1" max="1" width="6" customWidth="1"/>
    <x:col min="2" max="2" width="21" customWidth="1"/>
    <x:col min="3" max="3" width="21" customWidth="1"/>
    <x:col min="4" max="4" width="21" customWidth="1"/>
    <x:col min="5" max="5" width="21" customWidth="1"/>
    <x:col min="6" max="6" width="21" customWidth="1"/>
    <x:col min="7" max="7" width="21" customWidth="1"/>
    <x:col min="8" max="8" width="21" customWidth="1"/>
    <x:col min="9" max="9" width="23" customWidth="1"/>
    <x:col min="10" max="10" width="23" customWidth="1"/>
    <x:col min="11" max="11" width="28" customWidth="1"/>
    <x:col min="12" max="12" width="33" customWidth="1"/>
    <x:col min="13" max="13" width="31" customWidth="1"/>
  </x:cols>
  <x:sheetData>
    <x:row r="1">
      <x:c r="A1" s="2" t="inlineStr">
        <x:is>
          <x:t xml:space="preserve">Trip</x:t>
        </x:is>
      </x:c>
      <x:c r="B1" s="2" t="inlineStr">
        <x:is>
          <x:t xml:space="preserve">MZP_ETA</x:t>
        </x:is>
      </x:c>
      <x:c r="C1" s="2" t="inlineStr">
        <x:is>
          <x:t xml:space="preserve">MZP_Secured</x:t>
        </x:is>
      </x:c>
      <x:c r="D1" s="2" t="inlineStr">
        <x:is>
          <x:t xml:space="preserve">MZP_ETD</x:t>
        </x:is>
      </x:c>
      <x:c r="E1" s="2" t="inlineStr">
        <x:is>
          <x:t xml:space="preserve">AGI_ETA_or_Anchor</x:t>
        </x:is>
      </x:c>
      <x:c r="F1" s="2" t="inlineStr">
        <x:is>
          <x:t xml:space="preserve">AGI_Secured</x:t>
        </x:is>
      </x:c>
      <x:c r="G1" s="2" t="inlineStr">
        <x:is>
          <x:t xml:space="preserve">AGI_CastOff_Return</x:t>
        </x:is>
      </x:c>
      <x:c r="H1" s="2" t="inlineStr">
        <x:is>
          <x:t xml:space="preserve">Next_MZP_Secured</x:t>
        </x:is>
      </x:c>
      <x:c r="I1" s="2" t="inlineStr">
        <x:is>
          <x:t xml:space="preserve">MZP_Wait_days</x:t>
        </x:is>
      </x:c>
      <x:c r="J1" s="2" t="inlineStr">
        <x:is>
          <x:t xml:space="preserve">MZP_Turn_days</x:t>
        </x:is>
      </x:c>
      <x:c r="K1" s="2" t="inlineStr">
        <x:is>
          <x:t xml:space="preserve">Sail_MZP_to_AGI_hr</x:t>
        </x:is>
      </x:c>
      <x:c r="L1" s="2" t="inlineStr">
        <x:is>
          <x:t xml:space="preserve">Return_to_Secure_days</x:t>
        </x:is>
      </x:c>
      <x:c r="M1" s="2" t="inlineStr">
        <x:is>
          <x:t xml:space="preserve">MZP_Total_Turn_incl_Wait_days</x:t>
        </x:is>
      </x:c>
    </x:row>
    <x:row r="2">
      <x:c r="A2" s="3" t="inlineStr">
        <x:is>
          <x:t xml:space="preserve">TR1</x:t>
        </x:is>
      </x:c>
      <x:c r="B2" s="4" t="n"/>
      <x:c r="C2" s="4" t="n">
        <x:v>46049.73472222222</x:v>
      </x:c>
      <x:c r="D2" s="4" t="n">
        <x:v>46053.85833333333</x:v>
      </x:c>
      <x:c r="E2" s="4" t="n">
        <x:v>46054.25</x:v>
      </x:c>
      <x:c r="F2" s="4" t="n">
        <x:v>46057.67083333333</x:v>
      </x:c>
      <x:c r="G2" s="4" t="n">
        <x:v>46061.60972222222</x:v>
      </x:c>
      <x:c r="H2" s="4" t="n">
        <x:v>46062.8875</x:v>
      </x:c>
      <x:c r="I2" s="5">
        <x:f>IF(B2="", "", C2-B2)</x:f>
      </x:c>
      <x:c r="J2" s="5">
        <x:f>IF(C2="", "", D2-C2)</x:f>
        <x:v>4.123611111106584</x:v>
      </x:c>
      <x:c r="K2" s="7">
        <x:f>IF(E2="", "", (E2-D2)*24)</x:f>
        <x:v>9.40000000008149</x:v>
      </x:c>
      <x:c r="L2" s="5">
        <x:f>IF(OR(G2="",H2=""), "", H2-G2)</x:f>
        <x:v>1.2777777777737356</x:v>
      </x:c>
      <x:c r="M2" s="5">
        <x:f>IF(B2="", "", D2-B2)</x:f>
      </x:c>
    </x:row>
    <x:row r="3">
      <x:c r="A3" s="3" t="inlineStr">
        <x:is>
          <x:t xml:space="preserve">TR2</x:t>
        </x:is>
      </x:c>
      <x:c r="B3" s="4" t="n">
        <x:v>46062.04166666666</x:v>
      </x:c>
      <x:c r="C3" s="4" t="n">
        <x:v>46062.8875</x:v>
      </x:c>
      <x:c r="D3" s="4" t="n">
        <x:v>46065.625</x:v>
      </x:c>
      <x:c r="E3" s="4" t="n">
        <x:v>46066.04166666666</x:v>
      </x:c>
      <x:c r="F3" s="4" t="n"/>
      <x:c r="G3" s="4" t="n">
        <x:v>46066.65416666667</x:v>
      </x:c>
      <x:c r="H3" s="4" t="n">
        <x:v>46070.6</x:v>
      </x:c>
      <x:c r="I3" s="5">
        <x:f>IF(B3="", "", C3-B3)</x:f>
        <x:v>0.8458333333401242</x:v>
      </x:c>
      <x:c r="J3" s="5">
        <x:f>IF(C3="", "", D3-C3)</x:f>
        <x:v>2.7375000000029104</x:v>
      </x:c>
      <x:c r="K3" s="7">
        <x:f>IF(E3="", "", (E3-D3)*24)</x:f>
        <x:v>9.99999999976717</x:v>
      </x:c>
      <x:c r="L3" s="5">
        <x:f>IF(OR(G3="",H3=""), "", H3-G3)</x:f>
        <x:v>3.945833333331393</x:v>
      </x:c>
      <x:c r="M3" s="5">
        <x:f>IF(B3="", "", D3-B3)</x:f>
        <x:v>3.5833333333430346</x:v>
      </x:c>
    </x:row>
    <x:row r="4">
      <x:c r="A4" s="3" t="inlineStr">
        <x:is>
          <x:t xml:space="preserve">TR3</x:t>
        </x:is>
      </x:c>
      <x:c r="B4" s="4" t="n">
        <x:v>46067.08333333334</x:v>
      </x:c>
      <x:c r="C4" s="4" t="n">
        <x:v>46070.6</x:v>
      </x:c>
      <x:c r="D4" s="4" t="n">
        <x:v>46072.125</x:v>
      </x:c>
      <x:c r="E4" s="4" t="n"/>
      <x:c r="F4" s="4" t="n"/>
      <x:c r="G4" s="4" t="n"/>
      <x:c r="H4" s="4" t="n"/>
      <x:c r="I4" s="5">
        <x:f>IF(B4="", "", C4-B4)</x:f>
        <x:v>3.51666666665551</x:v>
      </x:c>
      <x:c r="J4" s="5">
        <x:f>IF(C4="", "", D4-C4)</x:f>
        <x:v>1.5250000000014552</x:v>
      </x:c>
      <x:c r="K4" s="7">
        <x:f>IF(E4="", "", (E4-D4)*24)</x:f>
      </x:c>
      <x:c r="L4" s="5">
        <x:f>IF(OR(G4="",H4=""), "", H4-G4)</x:f>
      </x:c>
      <x:c r="M4" s="5">
        <x:f>IF(B4="", "", D4-B4)</x:f>
        <x:v>5.041666666656965</x:v>
      </x:c>
    </x:row>
  </x:sheetData>
  <x:pageMargins left="0.7" right="0.7" top="0.75" bottom="0.75" header="0.3" footer="0.3"/>
  <x:tableParts count="1">
    <x:tablePart xmlns:r="http://schemas.openxmlformats.org/officeDocument/2006/relationships" r:id="Rc53995960bf947e3"/>
  </x:tableParts>
</x:worksheet>
</file>

<file path=xl/worksheets/sheet4.xml><?xml version="1.0" encoding="utf-8"?>
<x:worksheet xmlns:x="http://schemas.openxmlformats.org/spreadsheetml/2006/main">
  <x:sheetFormatPr defaultRowHeight="15"/>
  <x:cols>
    <x:col min="1" max="1" width="6" customWidth="1"/>
    <x:col min="2" max="2" width="21" customWidth="1"/>
    <x:col min="3" max="3" width="23" customWidth="1"/>
    <x:col min="4" max="4" width="60" customWidth="1"/>
  </x:cols>
  <x:sheetData>
    <x:row r="1">
      <x:c r="A1" s="2" t="inlineStr">
        <x:is>
          <x:t xml:space="preserve">Trip</x:t>
        </x:is>
      </x:c>
      <x:c r="B1" s="2" t="inlineStr">
        <x:is>
          <x:t xml:space="preserve">Datetime</x:t>
        </x:is>
      </x:c>
      <x:c r="C1" s="2" t="inlineStr">
        <x:is>
          <x:t xml:space="preserve">Sender</x:t>
        </x:is>
      </x:c>
      <x:c r="D1" s="2" t="inlineStr">
        <x:is>
          <x:t xml:space="preserve">Message</x:t>
        </x:is>
      </x:c>
    </x:row>
    <x:row r="2">
      <x:c r="A2" s="3" t="inlineStr">
        <x:is>
          <x:t xml:space="preserve">TR1</x:t>
        </x:is>
      </x:c>
      <x:c r="B2" s="4" t="n">
        <x:v>46049.64652777778</x:v>
      </x:c>
      <x:c r="C2" s="3" t="inlineStr">
        <x:is>
          <x:t xml:space="preserve">𝓨𝓸𝓸𝓷𝓾𝓼 𝓚𝓸𝓵𝓲𝓴𝓴𝓪𝓻𝓪</x:t>
        </x:is>
      </x:c>
      <x:c r="D2" s="3" t="inlineStr">
        <x:is>
          <x:t xml:space="preserve">*_kindly note that land PTW approval (for 01st Trip - TR) is still pending, hence do not move SPMT from the yard to the jetty area until we receive Land PTW approval _*</x:t>
        </x:is>
      </x:c>
    </x:row>
    <x:row r="3">
      <x:c r="A3" s="3" t="inlineStr">
        <x:is>
          <x:t xml:space="preserve">TR1</x:t>
        </x:is>
      </x:c>
      <x:c r="B3" s="4" t="n">
        <x:v>46050.47222222222</x:v>
      </x:c>
      <x:c r="C3" s="3" t="inlineStr">
        <x:is>
          <x:t xml:space="preserve">Yulia MAMMOET</x:t>
        </x:is>
      </x:c>
      <x:c r="D3" s="3" t="inlineStr">
        <x:is>
          <x:t xml:space="preserve">Please, for tomorrow, 29-01-2026, book a crane and 1 forklift.
Starting 07:00am
It will be required for linkspan installation.</x:t>
        </x:is>
      </x:c>
    </x:row>
    <x:row r="4">
      <x:c r="A4" s="3" t="inlineStr">
        <x:is>
          <x:t xml:space="preserve">TR1</x:t>
        </x:is>
      </x:c>
      <x:c r="B4" s="4" t="n">
        <x:v>46050.72083333333</x:v>
      </x:c>
      <x:c r="C4" s="3" t="inlineStr">
        <x:is>
          <x:t xml:space="preserve">Haitham</x:t>
        </x:is>
      </x:c>
      <x:c r="D4" s="3" t="inlineStr">
        <x:is>
          <x:t xml:space="preserve">@⁨Yulia MAMMOET⁩ tomorrow we will be have F2F meeting with HM regarding link span issue:
Pls attend we will coordinate at morning
Attendees:
SCT
MWS
MMT
OFCO</x:t>
        </x:is>
      </x:c>
    </x:row>
    <x:row r="5">
      <x:c r="A5" s="3" t="inlineStr">
        <x:is>
          <x:t xml:space="preserve">TR1</x:t>
        </x:is>
      </x:c>
      <x:c r="B5" s="4" t="n">
        <x:v>46050.72361111111</x:v>
      </x:c>
      <x:c r="C5" s="3" t="inlineStr">
        <x:is>
          <x:t xml:space="preserve">상욱</x:t>
        </x:is>
      </x:c>
      <x:c r="D5" s="3" t="inlineStr">
        <x:is>
          <x:t xml:space="preserve">Not possible.
Linkspan issue..HM want any certificate..confirmation</x:t>
        </x:is>
      </x:c>
    </x:row>
    <x:row r="6">
      <x:c r="A6" s="3" t="inlineStr">
        <x:is>
          <x:t xml:space="preserve">TR1</x:t>
        </x:is>
      </x:c>
      <x:c r="B6" s="4" t="n">
        <x:v>46050.73333333333</x:v>
      </x:c>
      <x:c r="C6" s="3" t="inlineStr">
        <x:is>
          <x:t xml:space="preserve">상욱</x:t>
        </x:is>
      </x:c>
      <x:c r="D6" s="3" t="inlineStr">
        <x:is>
          <x:t xml:space="preserve">@⁨Yulia MAMMOET⁩ 
Linkspan.
Pls check..if manufactuer have COC.(Certificate of Conformity).</x:t>
        </x:is>
      </x:c>
    </x:row>
    <x:row r="7">
      <x:c r="A7" s="3" t="inlineStr">
        <x:is>
          <x:t xml:space="preserve">TR1</x:t>
        </x:is>
      </x:c>
      <x:c r="B7" s="4" t="n">
        <x:v>46050.73472222222</x:v>
      </x:c>
      <x:c r="C7" s="3" t="inlineStr">
        <x:is>
          <x:t xml:space="preserve">OFCO DAS GOpal</x:t>
        </x:is>
      </x:c>
      <x:c r="D7" s="3" t="inlineStr">
        <x:is>
          <x:t xml:space="preserve">Please note
As advised earlier , The Land PTW ro carry out the operation including shifting if the cafgo from the yard has not been approved yet as the initial approvar is HM.</x:t>
        </x:is>
      </x:c>
    </x:row>
    <x:row r="8">
      <x:c r="A8" s="3" t="inlineStr">
        <x:is>
          <x:t xml:space="preserve">TR1</x:t>
        </x:is>
      </x:c>
      <x:c r="B8" s="4" t="n">
        <x:v>46051.56319444445</x:v>
      </x:c>
      <x:c r="C8" s="3" t="inlineStr">
        <x:is>
          <x:t xml:space="preserve">OFCO DAS GOpal</x:t>
        </x:is>
      </x:c>
      <x:c r="D8" s="3" t="inlineStr">
        <x:is>
          <x:t xml:space="preserve">Dear all
We received a phone call now from Mr Ahmed Khasim whom we met from operations, according to his manager linkspan certifiacate is mandatory</x:t>
        </x:is>
      </x:c>
    </x:row>
    <x:row r="9">
      <x:c r="A9" s="3" t="inlineStr">
        <x:is>
          <x:t xml:space="preserve">TR1</x:t>
        </x:is>
      </x:c>
      <x:c r="B9" s="4" t="n">
        <x:v>46052.36111111111</x:v>
      </x:c>
      <x:c r="C9" s="3" t="inlineStr">
        <x:is>
          <x:t xml:space="preserve">Yulia MAMMOET</x:t>
        </x:is>
      </x:c>
      <x:c r="D9" s="3" t="inlineStr">
        <x:is>
          <x:t xml:space="preserve">Steel plates installed. 
Linskspan ramp adjusted.</x:t>
        </x:is>
      </x:c>
    </x:row>
    <x:row r="10">
      <x:c r="A10" s="3" t="inlineStr">
        <x:is>
          <x:t xml:space="preserve">TR1</x:t>
        </x:is>
      </x:c>
      <x:c r="B10" s="4" t="n">
        <x:v>46052.44097222222</x:v>
      </x:c>
      <x:c r="C10" s="3" t="inlineStr">
        <x:is>
          <x:t xml:space="preserve">상욱</x:t>
        </x:is>
      </x:c>
      <x:c r="D10" s="3" t="inlineStr">
        <x:is>
          <x:t xml:space="preserve">Waiting for PTW..
only issue Linkspan.as per request byHM.</x:t>
        </x:is>
      </x:c>
    </x:row>
    <x:row r="11">
      <x:c r="A11" s="3" t="inlineStr">
        <x:is>
          <x:t xml:space="preserve">TR1</x:t>
        </x:is>
      </x:c>
      <x:c r="B11" s="4" t="n">
        <x:v>46052.47222222222</x:v>
      </x:c>
      <x:c r="C11" s="3" t="inlineStr">
        <x:is>
          <x:t xml:space="preserve">Yulia MAMMOET</x:t>
        </x:is>
      </x:c>
      <x:c r="D11" s="3" t="inlineStr">
        <x:is>
          <x:t xml:space="preserve">Mr. Cha, @⁨CHA⁩ 
Since Port Authority doesn’t allow to commence operation, please, confirm that we can start removal of linkspan</x:t>
        </x:is>
      </x:c>
    </x:row>
    <x:row r="12">
      <x:c r="A12" s="3" t="inlineStr">
        <x:is>
          <x:t xml:space="preserve">TR1</x:t>
        </x:is>
      </x:c>
      <x:c r="B12" s="4" t="n">
        <x:v>46052.47361111111</x:v>
      </x:c>
      <x:c r="C12" s="3" t="inlineStr">
        <x:is>
          <x:t xml:space="preserve">상욱</x:t>
        </x:is>
      </x:c>
      <x:c r="D12" s="3" t="inlineStr">
        <x:is>
          <x:t xml:space="preserve">Yulia...you should check another solution on Linkspan . Why push ?
SCT will try to resolve issue to TPI. rental base.etc.</x:t>
        </x:is>
      </x:c>
    </x:row>
    <x:row r="13">
      <x:c r="A13" s="3" t="inlineStr">
        <x:is>
          <x:t xml:space="preserve">TR1</x:t>
        </x:is>
      </x:c>
      <x:c r="B13" s="4" t="n">
        <x:v>46052.47430555556</x:v>
      </x:c>
      <x:c r="C13" s="3" t="inlineStr">
        <x:is>
          <x:t xml:space="preserve">CHA</x:t>
        </x:is>
      </x:c>
      <x:c r="D13" s="3" t="inlineStr">
        <x:is>
          <x:t xml:space="preserve">Please Linkspan Removal - Hold until 14:00</x:t>
        </x:is>
      </x:c>
    </x:row>
    <x:row r="14">
      <x:c r="A14" s="3" t="inlineStr">
        <x:is>
          <x:t xml:space="preserve">TR1</x:t>
        </x:is>
      </x:c>
      <x:c r="B14" s="4" t="n">
        <x:v>46052.50069444445</x:v>
      </x:c>
      <x:c r="C14" s="3" t="inlineStr">
        <x:is>
          <x:t xml:space="preserve">𝓨𝓸𝓸𝓷𝓾𝓼 𝓚𝓸𝓵𝓲𝓴𝓴𝓪𝓻𝓪</x:t>
        </x:is>
      </x:c>
      <x:c r="D14" s="3" t="inlineStr">
        <x:is>
          <x:t xml:space="preserve">@⁨상욱⁩ , De-ballasting all are subject to approval of port authority, we will request AD port waste service team to arrange tanker for collection. please confirm to proceed for tanker arrangements</x:t>
        </x:is>
      </x:c>
    </x:row>
    <x:row r="15">
      <x:c r="A15" s="3" t="inlineStr">
        <x:is>
          <x:t xml:space="preserve">TR1</x:t>
        </x:is>
      </x:c>
      <x:c r="B15" s="4" t="n">
        <x:v>46052.66944444444</x:v>
      </x:c>
      <x:c r="C15" s="3" t="inlineStr">
        <x:is>
          <x:t xml:space="preserve">Yulia MAMMOET</x:t>
        </x:is>
      </x:c>
      <x:c r="D15" s="3" t="inlineStr">
        <x:is>
          <x:t xml:space="preserve">Yes, tomorrow we come anyway at 7am 
Either for load out, or for ramp removal… 
I hope we receive exceptional approval
26/1/30 PM 5:01 - ‎상욱님이 Arvin님을 추가했습니다</x:t>
        </x:is>
      </x:c>
    </x:row>
    <x:row r="16">
      <x:c r="A16" s="3" t="inlineStr">
        <x:is>
          <x:t xml:space="preserve">TR1</x:t>
        </x:is>
      </x:c>
      <x:c r="B16" s="4" t="n">
        <x:v>46052.66944444444</x:v>
      </x:c>
      <x:c r="C16" s="3" t="inlineStr">
        <x:is>
          <x:t xml:space="preserve">상욱</x:t>
        </x:is>
      </x:c>
      <x:c r="D16" s="3" t="inlineStr">
        <x:is>
          <x:t xml:space="preserve">If get PTW..we can start to loadout tom.🙏
Today..if no avtivity..pls release them..</x:t>
        </x:is>
      </x:c>
    </x:row>
    <x:row r="17">
      <x:c r="A17" s="3" t="inlineStr">
        <x:is>
          <x:t xml:space="preserve">TR1</x:t>
        </x:is>
      </x:c>
      <x:c r="B17" s="4" t="n">
        <x:v>46052.92361111111</x:v>
      </x:c>
      <x:c r="C17" s="3" t="inlineStr">
        <x:is>
          <x:t xml:space="preserve">𝓨𝓸𝓸𝓷𝓾𝓼 𝓚𝓸𝓵𝓲𝓴𝓴𝓪𝓻𝓪</x:t>
        </x:is>
      </x:c>
      <x:c r="D17" s="3" t="inlineStr">
        <x:is>
          <x:t xml:space="preserve">Dear All,
we received approval from HM / HSE / MZ Ops (After a long discussion) to load cargo (for 01st trip only) onto the vessel. kindly  arrange your loading plan tomorrow 
*kindly note that we must submit COA from approved MWS team prior sailing vessel from port*</x:t>
        </x:is>
      </x:c>
    </x:row>
    <x:row r="18">
      <x:c r="A18" s="3" t="inlineStr">
        <x:is>
          <x:t xml:space="preserve">TR1</x:t>
        </x:is>
      </x:c>
      <x:c r="B18" s="4" t="n">
        <x:v>46053.30625</x:v>
      </x:c>
      <x:c r="C18" s="3" t="inlineStr">
        <x:is>
          <x:t xml:space="preserve">Yulia MAMMOET</x:t>
        </x:is>
      </x:c>
      <x:c r="D18" s="3" t="inlineStr">
        <x:is>
          <x:t xml:space="preserve">Good morning 
Please share PTW</x:t>
        </x:is>
      </x:c>
    </x:row>
    <x:row r="19">
      <x:c r="A19" s="3" t="inlineStr">
        <x:is>
          <x:t xml:space="preserve">TR1</x:t>
        </x:is>
      </x:c>
      <x:c r="B19" s="4" t="n">
        <x:v>46053.32569444444</x:v>
      </x:c>
      <x:c r="C19" s="3" t="inlineStr">
        <x:is>
          <x:t xml:space="preserve">Yulia MAMMOET</x:t>
        </x:is>
      </x:c>
      <x:c r="D19" s="3" t="inlineStr">
        <x:is>
          <x:t xml:space="preserve">Thank you! 
SPMT crew is ready to shift Tranformer to jetty area. 
If you already have  land transportation PTW, please, share with us and we will bring it to jetty.</x:t>
        </x:is>
      </x:c>
    </x:row>
    <x:row r="20">
      <x:c r="A20" s="3" t="inlineStr">
        <x:is>
          <x:t xml:space="preserve">TR1</x:t>
        </x:is>
      </x:c>
      <x:c r="B20" s="4" t="n">
        <x:v>46053.41736111111</x:v>
      </x:c>
      <x:c r="C20" s="3" t="inlineStr">
        <x:is>
          <x:t xml:space="preserve">+971 50 680 3593</x:t>
        </x:is>
      </x:c>
      <x:c r="D20" s="3" t="inlineStr">
        <x:is>
          <x:t xml:space="preserve">Please refer to link for MS 
8061 Load in&amp;out
Rev.B : OE&amp;PC Approved
Rev.C : Re-submitted to ADNOC for approval
https://studio.creativefabrica.com/transfer/390gU3Cu3PsHmueJ9LVOeFolWxD?accessCode=390gpoMgEL4b8ipjiOwU35yBuXM&amp;utm_source=amazon-ses&amp;utm_medium=email&amp;utm_campaign=studio-transfer-completed-en-v1
8062 : Jack down skidding
Rev.B : OE&amp;PC Approved
Rev.D : Re-submitted to ADNOV for approval
https://studio.creativefabrica.com/transfer/390gdOigVXYDFir2CKAOs84vo77?accessCode=390gs88tFttTxd9V0Xl3bm4nsJa&amp;utm_source=amazon-ses&amp;utm_medium=email&amp;utm_campaign=studio-transfer-completed-en-v1</x:t>
        </x:is>
      </x:c>
    </x:row>
    <x:row r="21">
      <x:c r="A21" s="3" t="inlineStr">
        <x:is>
          <x:t xml:space="preserve">TR1</x:t>
        </x:is>
      </x:c>
      <x:c r="B21" s="4" t="n">
        <x:v>46053.43402777778</x:v>
      </x:c>
      <x:c r="C21" s="3" t="inlineStr">
        <x:is>
          <x:t xml:space="preserve">Yulia MAMMOET</x:t>
        </x:is>
      </x:c>
      <x:c r="D21" s="3" t="inlineStr">
        <x:is>
          <x:t xml:space="preserve">We received approval from Harbor Master to start load out. 
Tools box talk done.</x:t>
        </x:is>
      </x:c>
    </x:row>
    <x:row r="22">
      <x:c r="A22" s="3" t="inlineStr">
        <x:is>
          <x:t xml:space="preserve">TR1</x:t>
        </x:is>
      </x:c>
      <x:c r="B22" s="4" t="n">
        <x:v>46053.45416666667</x:v>
      </x:c>
      <x:c r="C22" s="3" t="inlineStr">
        <x:is>
          <x:t xml:space="preserve">Yulia MAMMOET</x:t>
        </x:is>
      </x:c>
      <x:c r="D22" s="3" t="inlineStr">
        <x:is>
          <x:t xml:space="preserve">@⁨𝓨𝓸𝓸𝓷𝓾𝓼 𝓚𝓸𝓵𝓲𝓴𝓴𝓪𝓻𝓪⁩ hi! 
May we, please, have a crane with us now. 
For removal of the linkspan ramp and loading it on LCT</x:t>
        </x:is>
      </x:c>
    </x:row>
    <x:row r="23">
      <x:c r="A23" s="3" t="inlineStr">
        <x:is>
          <x:t xml:space="preserve">TR1</x:t>
        </x:is>
      </x:c>
      <x:c r="B23" s="4" t="n">
        <x:v>46053.52013888889</x:v>
      </x:c>
      <x:c r="C23" s="3" t="inlineStr">
        <x:is>
          <x:t xml:space="preserve">LCT Bushra</x:t>
        </x:is>
      </x:c>
      <x:c r="D23" s="3" t="inlineStr">
        <x:is>
          <x:t xml:space="preserve">Good day @⁨Haitham⁩ @⁨Yulia MAMMOET⁩ 
Pls advised for cargo manifest including the material on board.
We need to finalize the calculation.
Thank you.</x:t>
        </x:is>
      </x:c>
    </x:row>
    <x:row r="24">
      <x:c r="A24" s="3" t="inlineStr">
        <x:is>
          <x:t xml:space="preserve">TR1</x:t>
        </x:is>
      </x:c>
      <x:c r="B24" s="4" t="n">
        <x:v>46053.60694444444</x:v>
      </x:c>
      <x:c r="C24" s="3" t="inlineStr">
        <x:is>
          <x:t xml:space="preserve">Adnoc Ouda</x:t>
        </x:is>
      </x:c>
      <x:c r="D24" s="3" t="inlineStr">
        <x:is>
          <x:t xml:space="preserve">@⁨Haitham⁩ 
Appreciate if you can send manifest, Sail away certificate by mail to the team in AGI to be ready for offloading upon arrival and please keep us in the loop to support as may be needed</x:t>
        </x:is>
      </x:c>
    </x:row>
    <x:row r="25">
      <x:c r="A25" s="3" t="inlineStr">
        <x:is>
          <x:t xml:space="preserve">TR1</x:t>
        </x:is>
      </x:c>
      <x:c r="B25" s="4" t="n">
        <x:v>46053.74861111111</x:v>
      </x:c>
      <x:c r="C25" s="3" t="inlineStr">
        <x:is>
          <x:t xml:space="preserve">상욱</x:t>
        </x:is>
      </x:c>
      <x:c r="D25" s="3" t="inlineStr">
        <x:is>
          <x:t xml:space="preserve">Waiting Manifest. COA..
I think ETD 1.FEB / ETA 2.FEB.</x:t>
        </x:is>
      </x:c>
    </x:row>
    <x:row r="26">
      <x:c r="A26" s="3" t="inlineStr">
        <x:is>
          <x:t xml:space="preserve">TR1</x:t>
        </x:is>
      </x:c>
      <x:c r="B26" s="4" t="n">
        <x:v>46053.81111111111</x:v>
      </x:c>
      <x:c r="C26" s="3" t="inlineStr">
        <x:is>
          <x:t xml:space="preserve">LCT Bushra</x:t>
        </x:is>
      </x:c>
      <x:c r="D26" s="3" t="inlineStr">
        <x:is>
          <x:t xml:space="preserve">from the latest manifest, the total weight loaded to Bush is 645 tons, in this condition, vessel draught will reach 2,9 mtrs. meanwhile, the actual draught is 2,5 mtr. diff 0,4 mtr by the draught.</x:t>
        </x:is>
      </x:c>
    </x:row>
    <x:row r="27">
      <x:c r="A27" s="3" t="inlineStr">
        <x:is>
          <x:t xml:space="preserve">TR1</x:t>
        </x:is>
      </x:c>
      <x:c r="B27" s="4" t="n">
        <x:v>46053.82430555556</x:v>
      </x:c>
      <x:c r="C27" s="3" t="inlineStr">
        <x:is>
          <x:t xml:space="preserve">상욱</x:t>
        </x:is>
      </x:c>
      <x:c r="D27" s="3" t="inlineStr">
        <x:is>
          <x:t xml:space="preserve">@⁨LCT Bushra⁩ 
I shared..revised manifest.
Shipping team will fu.</x:t>
        </x:is>
      </x:c>
    </x:row>
    <x:row r="28">
      <x:c r="A28" s="3" t="inlineStr">
        <x:is>
          <x:t xml:space="preserve">TR1</x:t>
        </x:is>
      </x:c>
      <x:c r="B28" s="4" t="n">
        <x:v>46054.32430555556</x:v>
      </x:c>
      <x:c r="C28" s="3" t="inlineStr">
        <x:is>
          <x:t xml:space="preserve">Khemlal-SCT Logistics</x:t>
        </x:is>
      </x:c>
      <x:c r="D28" s="3" t="inlineStr">
        <x:is>
          <x:t xml:space="preserve">for link Span -  will use choker hitch method using a spreader beam and webbing slings, and the same was submitted LOP,  has been submitted and is currently awaiting approval from AOF SPA.</x:t>
        </x:is>
      </x:c>
    </x:row>
    <x:row r="29">
      <x:c r="A29" s="3" t="inlineStr">
        <x:is>
          <x:t xml:space="preserve">TR1</x:t>
        </x:is>
      </x:c>
      <x:c r="B29" s="4" t="n">
        <x:v>46054.58680555555</x:v>
      </x:c>
      <x:c r="C29" s="3" t="inlineStr">
        <x:is>
          <x:t xml:space="preserve">상욱</x:t>
        </x:is>
      </x:c>
      <x:c r="D29" s="3" t="inlineStr">
        <x:is>
          <x:t xml:space="preserve">@⁨Yulia MAMMOET⁩ 
Pls prepare  2nd TR operation.- SPMT.LINKSPAN.ETC
26/2/2 AM 1:45 - ‎~ Alex님과의 보안 코드가 변경되었습니다. 더 알아보려면 탭하세요.
26/2/2 AM 6:50 - ‎+971 56 177 0485님과의 보안 코드가 변경되었습니다. 더 알아보려면 탭하세요.
26/2/2 AM 8:58 - ‎~ Alex님과의 보안 코드가 변경되었습니다. 더 알아보려면 탭하세요.</x:t>
        </x:is>
      </x:c>
    </x:row>
    <x:row r="30">
      <x:c r="A30" s="3" t="inlineStr">
        <x:is>
          <x:t xml:space="preserve">TR2</x:t>
        </x:is>
      </x:c>
      <x:c r="B30" s="4" t="n">
        <x:v>46062.47291666667</x:v>
      </x:c>
      <x:c r="C30" s="3" t="inlineStr">
        <x:is>
          <x:t xml:space="preserve">상욱</x:t>
        </x:is>
      </x:c>
      <x:c r="D30" s="3" t="inlineStr">
        <x:is>
          <x:t xml:space="preserve">2nd TR..Loadout plan.
-09. Feb..Bushra.securing berth.night
-10. Feb..Linkspan arrangement.
-11. Feb..2nd TR.Loadout..MWS.
-12. Feb..ETA AGI am.Linkspan arrangement
-13. Feb..Loadin.
-14. Feb..ETA MZP..am &lt;This message was edited&gt;</x:t>
        </x:is>
      </x:c>
    </x:row>
    <x:row r="31">
      <x:c r="A31" s="3" t="inlineStr">
        <x:is>
          <x:t xml:space="preserve">TR2</x:t>
        </x:is>
      </x:c>
      <x:c r="B31" s="4" t="n">
        <x:v>46062.68611111111</x:v>
      </x:c>
      <x:c r="C31" s="3" t="inlineStr">
        <x:is>
          <x:t xml:space="preserve">Yulia MAMMOET</x:t>
        </x:is>
      </x:c>
      <x:c r="D31" s="3" t="inlineStr">
        <x:is>
          <x:t xml:space="preserve">Dear @⁨𝓨𝓸𝓸𝓷𝓾𝓼 𝓚𝓸𝓵𝓲𝓴𝓴𝓪𝓻𝓪⁩ @⁨+971 56 501 4341⁩  good afternoon!
Kindly ask you to book for MMT Crew AUX equipment as per below request:
10.02
Please, provide below by 7am:
Mafi trailer (for shifting of equipment from laydown area to jetty)
16t forklift (for loading/offloading of equipment)
crane (for installation of linkspan)
11.02
Please, provide below by 7am:
Crane (for loading of linkspan on LCT)
Mafi trailer (for bringing 6m mats to laydown area)
Please, provide by 4pm
forklift (to shift welding machines from jetty to laydown area)
Thank you!</x:t>
        </x:is>
      </x:c>
    </x:row>
    <x:row r="32">
      <x:c r="A32" s="3" t="inlineStr">
        <x:is>
          <x:t xml:space="preserve">TR2</x:t>
        </x:is>
      </x:c>
      <x:c r="B32" s="4" t="n">
        <x:v>46063.54236111111</x:v>
      </x:c>
      <x:c r="C32" s="3" t="inlineStr">
        <x:is>
          <x:t xml:space="preserve">Yulia MAMMOET</x:t>
        </x:is>
      </x:c>
      <x:c r="D32" s="3" t="inlineStr">
        <x:is>
          <x:t xml:space="preserve">Dear All, good afternoon! 
We are observing quite high waves at the moment. 
The crew is raising concerns regarding linkspan beam installation. 
In the afternoon I will let you know if we install beams today or tomorrow morning. 
The whole installation takes less than 30 minutes. 
So while we will be shifting Transformers from laydown area to Jetty, Marine crew will install the beams. 
Welding is almost done. Will be completed today.</x:t>
        </x:is>
      </x:c>
    </x:row>
    <x:row r="33">
      <x:c r="A33" s="3" t="inlineStr">
        <x:is>
          <x:t xml:space="preserve">TR2</x:t>
        </x:is>
      </x:c>
      <x:c r="B33" s="4" t="n">
        <x:v>46063.54236111111</x:v>
      </x:c>
      <x:c r="C33" s="3" t="inlineStr">
        <x:is>
          <x:t xml:space="preserve">Yulia MAMMOET</x:t>
        </x:is>
      </x:c>
      <x:c r="D33" s="3" t="inlineStr">
        <x:is>
          <x:t xml:space="preserve">Tomorrow’s tide window is 7-8am</x:t>
        </x:is>
      </x:c>
    </x:row>
    <x:row r="34">
      <x:c r="A34" s="3" t="inlineStr">
        <x:is>
          <x:t xml:space="preserve">TR2</x:t>
        </x:is>
      </x:c>
      <x:c r="B34" s="4" t="n">
        <x:v>46063.60277777778</x:v>
      </x:c>
      <x:c r="C34" s="3" t="inlineStr">
        <x:is>
          <x:t xml:space="preserve">Yulia MAMMOET</x:t>
        </x:is>
      </x:c>
      <x:c r="D34" s="3" t="inlineStr">
        <x:is>
          <x:t xml:space="preserve">Dears, 
Linkspan beams will be installed tomorrow morning. 
Today swell is too high and LCT is moving a lot. 
As I informed earlier, it won’t take more than 30 minutes</x:t>
        </x:is>
      </x:c>
    </x:row>
    <x:row r="35">
      <x:c r="A35" s="3" t="inlineStr">
        <x:is>
          <x:t xml:space="preserve">TR2</x:t>
        </x:is>
      </x:c>
      <x:c r="B35" s="4" t="n">
        <x:v>46063.73055555556</x:v>
      </x:c>
      <x:c r="C35" s="3" t="inlineStr">
        <x:is>
          <x:t xml:space="preserve">Yulia MAMMOET</x:t>
        </x:is>
      </x:c>
      <x:c r="D35" s="3" t="inlineStr">
        <x:is>
          <x:t xml:space="preserve">Mammoet crew to report to MZP by 06:45am
Tide window tomorrow: 
06:00am tide is 1.80m
07:00am tide is 1.85m
08:00am tide is 1.82m
Marine crew to install linkspan beams (07:00-07:30)
SPMT crew to shift transformer to jetty area (07:00-07:30)
Crane is arranged. It will be provided at 07:00am 
Load out start at 07:30am 
Subject to weather conditions.</x:t>
        </x:is>
      </x:c>
    </x:row>
    <x:row r="36">
      <x:c r="A36" s="3" t="inlineStr">
        <x:is>
          <x:t xml:space="preserve">TR2</x:t>
        </x:is>
      </x:c>
      <x:c r="B36" s="4" t="n">
        <x:v>46064.29791666667</x:v>
      </x:c>
      <x:c r="C36" s="3" t="inlineStr">
        <x:is>
          <x:t xml:space="preserve">Yulia MAMMOET</x:t>
        </x:is>
      </x:c>
      <x:c r="D36" s="3" t="inlineStr">
        <x:is>
          <x:t xml:space="preserve">Dears, 
Port Supervisor stoped all operations due to dense fog. 
We can’t use crane now to install the linkspan beams.
26/2/11 AM 7:10 - ‎Yulia MAMMOET님이 Mammoet님을 추가했습니다</x:t>
        </x:is>
      </x:c>
    </x:row>
    <x:row r="37">
      <x:c r="A37" s="3" t="inlineStr">
        <x:is>
          <x:t xml:space="preserve">TR2</x:t>
        </x:is>
      </x:c>
      <x:c r="B37" s="4" t="n">
        <x:v>46064.30416666667</x:v>
      </x:c>
      <x:c r="C37" s="3" t="inlineStr">
        <x:is>
          <x:t xml:space="preserve">Mammoet</x:t>
        </x:is>
      </x:c>
      <x:c r="D37" s="3" t="inlineStr">
        <x:is>
          <x:t xml:space="preserve">Gents, Due to heavy fog all mina activities have stopped,</x:t>
        </x:is>
      </x:c>
    </x:row>
    <x:row r="38">
      <x:c r="A38" s="3" t="inlineStr">
        <x:is>
          <x:t xml:space="preserve">TR2</x:t>
        </x:is>
      </x:c>
      <x:c r="B38" s="4" t="n">
        <x:v>46064.30625</x:v>
      </x:c>
      <x:c r="C38" s="3" t="inlineStr">
        <x:is>
          <x:t xml:space="preserve">Mammoet</x:t>
        </x:is>
      </x:c>
      <x:c r="D38" s="3" t="inlineStr">
        <x:is>
          <x:t xml:space="preserve">Please note we won't be able to loadout 2nd TR today before 8pm, as per tide chart 1.8m will drop after 8am,</x:t>
        </x:is>
      </x:c>
    </x:row>
    <x:row r="39">
      <x:c r="A39" s="3" t="inlineStr">
        <x:is>
          <x:t xml:space="preserve">TR2</x:t>
        </x:is>
      </x:c>
      <x:c r="B39" s="4" t="n">
        <x:v>46064.33958333333</x:v>
      </x:c>
      <x:c r="C39" s="3" t="inlineStr">
        <x:is>
          <x:t xml:space="preserve">Yulia MAMMOET</x:t>
        </x:is>
      </x:c>
      <x:c r="D39" s="3" t="inlineStr">
        <x:is>
          <x:t xml:space="preserve">Dears, good morning 
Please, share weather forecast for tomorrow, including, if fog is expected or not</x:t>
        </x:is>
      </x:c>
    </x:row>
    <x:row r="40">
      <x:c r="A40" s="3" t="inlineStr">
        <x:is>
          <x:t xml:space="preserve">TR2</x:t>
        </x:is>
      </x:c>
      <x:c r="B40" s="4" t="n">
        <x:v>46064.37222222222</x:v>
      </x:c>
      <x:c r="C40" s="3" t="inlineStr">
        <x:is>
          <x:t xml:space="preserve">Yulia MAMMOET</x:t>
        </x:is>
      </x:c>
      <x:c r="D40" s="3" t="inlineStr">
        <x:is>
          <x:t xml:space="preserve">Dear Team, 
As per concerns from LCT Master, linkspan beams will not be installed today. 
Crane is released. 
Mammoet crew will be released as per confirmation from SCT Team (phone call with Mr. Jeong)</x:t>
        </x:is>
      </x:c>
    </x:row>
    <x:row r="41">
      <x:c r="A41" s="3" t="inlineStr">
        <x:is>
          <x:t xml:space="preserve">TR2</x:t>
        </x:is>
      </x:c>
      <x:c r="B41" s="4" t="n">
        <x:v>46064.80277777778</x:v>
      </x:c>
      <x:c r="C41" s="3" t="inlineStr">
        <x:is>
          <x:t xml:space="preserve">상욱</x:t>
        </x:is>
      </x:c>
      <x:c r="D41" s="3" t="inlineStr">
        <x:is>
          <x:t xml:space="preserve">Dear all.
Tom..will try again..
Tide ok till 10.am ...</x:t>
        </x:is>
      </x:c>
    </x:row>
    <x:row r="42">
      <x:c r="A42" s="3" t="inlineStr">
        <x:is>
          <x:t xml:space="preserve">TR2</x:t>
        </x:is>
      </x:c>
      <x:c r="B42" s="4" t="n">
        <x:v>46065.29236111111</x:v>
      </x:c>
      <x:c r="C42" s="3" t="inlineStr">
        <x:is>
          <x:t xml:space="preserve">Yulia MAMMOET</x:t>
        </x:is>
      </x:c>
      <x:c r="D42" s="3" t="inlineStr">
        <x:is>
          <x:t xml:space="preserve">Dears, good morning. 
Weather is clear. 
We will start shifting of TR Unit to jetty and installation of linden beams.
Once beams are installed, we will proceed with load out</x:t>
        </x:is>
      </x:c>
    </x:row>
    <x:row r="43">
      <x:c r="A43" s="3" t="inlineStr">
        <x:is>
          <x:t xml:space="preserve">TR2</x:t>
        </x:is>
      </x:c>
      <x:c r="B43" s="4" t="n">
        <x:v>46065.44583333333</x:v>
      </x:c>
      <x:c r="C43" s="3" t="inlineStr">
        <x:is>
          <x:t xml:space="preserve">상욱</x:t>
        </x:is>
      </x:c>
      <x:c r="D43" s="3" t="inlineStr">
        <x:is>
          <x:t xml:space="preserve">@⁨Yulia MAMMOET⁩ 
Pls check.
old linkspan..exit plan ?</x:t>
        </x:is>
      </x:c>
    </x:row>
    <x:row r="44">
      <x:c r="A44" s="3" t="inlineStr">
        <x:is>
          <x:t xml:space="preserve">TR2</x:t>
        </x:is>
      </x:c>
      <x:c r="B44" s="4" t="n">
        <x:v>46065.50763888889</x:v>
      </x:c>
      <x:c r="C44" s="3" t="inlineStr">
        <x:is>
          <x:t xml:space="preserve">상욱</x:t>
        </x:is>
      </x:c>
      <x:c r="D44" s="3" t="inlineStr">
        <x:is>
          <x:t xml:space="preserve">AGI plan.
13 Feb. Linkspan arrangment
14.Feb..offloading and Cast off
(Jetty #3.securing confirmed)</x:t>
        </x:is>
      </x:c>
    </x:row>
    <x:row r="45">
      <x:c r="A45" s="3" t="inlineStr">
        <x:is>
          <x:t xml:space="preserve">TR2</x:t>
        </x:is>
      </x:c>
      <x:c r="B45" s="4" t="n">
        <x:v>46065.55277777778</x:v>
      </x:c>
      <x:c r="C45" s="3" t="inlineStr">
        <x:is>
          <x:t xml:space="preserve">Shariff</x:t>
        </x:is>
      </x:c>
      <x:c r="D45" s="3" t="inlineStr">
        <x:is>
          <x:t xml:space="preserve">MZP..3rd TR operation Initial Plan as per current weather forecast.
15.Feb..ETA MZP 
16.Feb..stay (FRA)
17.Feb..Linkspan arrangement.
18.Feb..Loadout and Castoff.</x:t>
        </x:is>
      </x:c>
    </x:row>
    <x:row r="46">
      <x:c r="A46" s="3" t="inlineStr">
        <x:is>
          <x:t xml:space="preserve">TR3</x:t>
        </x:is>
      </x:c>
      <x:c r="B46" s="4" t="n">
        <x:v>46068.35902777778</x:v>
      </x:c>
      <x:c r="C46" s="3" t="inlineStr">
        <x:is>
          <x:t xml:space="preserve">Nanda kumar</x:t>
        </x:is>
      </x:c>
      <x:c r="D46" s="3" t="inlineStr">
        <x:is>
          <x:t xml:space="preserve">In 3 to 4 hrs. An operational vessel is already at the berth. &lt;This message was edited&gt;</x:t>
        </x:is>
      </x:c>
    </x:row>
    <x:row r="47">
      <x:c r="A47" s="3" t="inlineStr">
        <x:is>
          <x:t xml:space="preserve">TR3</x:t>
        </x:is>
      </x:c>
      <x:c r="B47" s="4" t="n">
        <x:v>46068.50625</x:v>
      </x:c>
      <x:c r="C47" s="3" t="inlineStr">
        <x:is>
          <x:t xml:space="preserve">LCT Bushra</x:t>
        </x:is>
      </x:c>
      <x:c r="D47" s="3" t="inlineStr">
        <x:is>
          <x:t xml:space="preserve">Call the vts and informed berth still occupied by comarco Palma.
Pls advised..</x:t>
        </x:is>
      </x:c>
    </x:row>
    <x:row r="48">
      <x:c r="A48" s="3" t="inlineStr">
        <x:is>
          <x:t xml:space="preserve">TR3</x:t>
        </x:is>
      </x:c>
      <x:c r="B48" s="4" t="n">
        <x:v>46068.61666666667</x:v>
      </x:c>
      <x:c r="C48" s="3" t="inlineStr">
        <x:is>
          <x:t xml:space="preserve">Offco Support Log</x:t>
        </x:is>
      </x:c>
      <x:c r="D48" s="3" t="inlineStr">
        <x:is>
          <x:t xml:space="preserve">4 more units remain to be offloaded from the Comarco Palma vessel. We have informed our client to expedite the operations.</x:t>
        </x:is>
      </x:c>
    </x:row>
    <x:row r="49">
      <x:c r="A49" s="3" t="inlineStr">
        <x:is>
          <x:t xml:space="preserve">TR3</x:t>
        </x:is>
      </x:c>
      <x:c r="B49" s="4" t="n">
        <x:v>46068.62013888889</x:v>
      </x:c>
      <x:c r="C49" s="3" t="inlineStr">
        <x:is>
          <x:t xml:space="preserve">LCT Bushra</x:t>
        </x:is>
      </x:c>
      <x:c r="D49" s="3" t="inlineStr">
        <x:is>
          <x:t xml:space="preserve">Well noted sir..
  Went comarco Palma cast off, I call vts</x:t>
        </x:is>
      </x:c>
    </x:row>
    <x:row r="50">
      <x:c r="A50" s="3" t="inlineStr">
        <x:is>
          <x:t xml:space="preserve">TR3</x:t>
        </x:is>
      </x:c>
      <x:c r="B50" s="4" t="n">
        <x:v>46068.81527777778</x:v>
      </x:c>
      <x:c r="C50" s="3" t="inlineStr">
        <x:is>
          <x:t xml:space="preserve">LCT Bushra</x:t>
        </x:is>
      </x:c>
      <x:c r="D50" s="3" t="inlineStr">
        <x:is>
          <x:t xml:space="preserve">Good evening
@⁨𝓨𝓸𝓸𝓷𝓾𝓼 𝓚𝓸𝓵𝓲𝓴𝓴𝓪𝓻𝓪⁩ @⁨OFCO Sathyan⁩ 
Pls advise berthing schedule for Bushra,
We called VtS and informed that berthing for Bushra not approved yet.</x:t>
        </x:is>
      </x:c>
    </x:row>
    <x:row r="51">
      <x:c r="A51" s="3" t="inlineStr">
        <x:is>
          <x:t xml:space="preserve">TR3</x:t>
        </x:is>
      </x:c>
      <x:c r="B51" s="4" t="n">
        <x:v>46068.82291666666</x:v>
      </x:c>
      <x:c r="C51" s="3" t="inlineStr">
        <x:is>
          <x:t xml:space="preserve">Offco Support Log</x:t>
        </x:is>
      </x:c>
      <x:c r="D51" s="3" t="inlineStr">
        <x:is>
          <x:t xml:space="preserve">@⁨LCT Bushra⁩, berth#5 already approved in Maqta System. Comarco Palma vessel is just casted off. You may call VTS once again after 15 mins</x:t>
        </x:is>
      </x:c>
    </x:row>
    <x:row r="52">
      <x:c r="A52" s="3" t="inlineStr">
        <x:is>
          <x:t xml:space="preserve">TR3</x:t>
        </x:is>
      </x:c>
      <x:c r="B52" s="4" t="n">
        <x:v>46069.04930555556</x:v>
      </x:c>
      <x:c r="C52" s="3" t="inlineStr">
        <x:is>
          <x:t xml:space="preserve">Offco Support Log</x:t>
        </x:is>
      </x:c>
      <x:c r="D52" s="3" t="inlineStr">
        <x:is>
          <x:t xml:space="preserve">@⁨LCT Bushra⁩, we understand from VTS that pilot unable to board onto launch due to bad weather.</x:t>
        </x:is>
      </x:c>
    </x:row>
    <x:row r="53">
      <x:c r="A53" s="3" t="inlineStr">
        <x:is>
          <x:t xml:space="preserve">TR3</x:t>
        </x:is>
      </x:c>
      <x:c r="B53" s="4" t="n">
        <x:v>46069.05</x:v>
      </x:c>
      <x:c r="C53" s="3" t="inlineStr">
        <x:is>
          <x:t xml:space="preserve">Offco Support Log</x:t>
        </x:is>
      </x:c>
      <x:c r="D53" s="3" t="inlineStr">
        <x:is>
          <x:t xml:space="preserve">According to VTS, pilot will monitor the weather and he will bring you in if weather is favourable.</x:t>
        </x:is>
      </x:c>
    </x:row>
    <x:row r="54">
      <x:c r="A54" s="3" t="inlineStr">
        <x:is>
          <x:t xml:space="preserve">TR3</x:t>
        </x:is>
      </x:c>
      <x:c r="B54" s="4" t="n">
        <x:v>46069.05138888889</x:v>
      </x:c>
      <x:c r="C54" s="3" t="inlineStr">
        <x:is>
          <x:t xml:space="preserve">LCT Bushra</x:t>
        </x:is>
      </x:c>
      <x:c r="D54" s="3" t="inlineStr">
        <x:is>
          <x:t xml:space="preserve">here is the weather forecast.</x:t>
        </x:is>
      </x:c>
    </x:row>
    <x:row r="55">
      <x:c r="A55" s="3" t="inlineStr">
        <x:is>
          <x:t xml:space="preserve">TR3</x:t>
        </x:is>
      </x:c>
      <x:c r="B55" s="4" t="n">
        <x:v>46069.06111111111</x:v>
      </x:c>
      <x:c r="C55" s="3" t="inlineStr">
        <x:is>
          <x:t xml:space="preserve">LCT Bushra</x:t>
        </x:is>
      </x:c>
      <x:c r="D55" s="3" t="inlineStr">
        <x:is>
          <x:t xml:space="preserve">According the weather forecast the weather will higher swell. suggestion better vessel back to anchorage and drop anchor to avoid heavy rolling. please advice..</x:t>
        </x:is>
      </x:c>
    </x:row>
    <x:row r="56">
      <x:c r="A56" s="3" t="inlineStr">
        <x:is>
          <x:t xml:space="preserve">TR3</x:t>
        </x:is>
      </x:c>
      <x:c r="B56" s="4" t="n">
        <x:v>46069.07152777778</x:v>
      </x:c>
      <x:c r="C56" s="3" t="inlineStr">
        <x:is>
          <x:t xml:space="preserve">LCT Bushra</x:t>
        </x:is>
      </x:c>
      <x:c r="D56" s="3" t="inlineStr">
        <x:is>
          <x:t xml:space="preserve">it is not safe for vessel steaming close to buoy Z19 waiting for pilot due to heavy rolling and pitching, vessel slowly heading back to anchorage location. @⁨Offco Support Log⁩  please advise for vessel approval to drop anchor in Mina Zayed anchorage area.</x:t>
        </x:is>
      </x:c>
    </x:row>
    <x:row r="57">
      <x:c r="A57" s="3" t="inlineStr">
        <x:is>
          <x:t xml:space="preserve">TR3</x:t>
        </x:is>
      </x:c>
      <x:c r="B57" s="4" t="n">
        <x:v>46069.27638888889</x:v>
      </x:c>
      <x:c r="C57" s="3" t="inlineStr">
        <x:is>
          <x:t xml:space="preserve">LCT Bushra</x:t>
        </x:is>
      </x:c>
      <x:c r="D57" s="3" t="inlineStr">
        <x:is>
          <x:t xml:space="preserve">Capt @⁨Capt Igor⁩ @⁨Adnoc Ouda⁩ @⁨CHA⁩ 
Vessels pitching moderately with 25-28 knots wind and 5-6 wave high. Need quick response for this matter.</x:t>
        </x:is>
      </x:c>
    </x:row>
    <x:row r="58">
      <x:c r="A58" s="3" t="inlineStr">
        <x:is>
          <x:t xml:space="preserve">TR3</x:t>
        </x:is>
      </x:c>
      <x:c r="B58" s="4" t="n">
        <x:v>46069.27916666667</x:v>
      </x:c>
      <x:c r="C58" s="3" t="inlineStr">
        <x:is>
          <x:t xml:space="preserve">LCT Bushra</x:t>
        </x:is>
      </x:c>
      <x:c r="D58" s="3" t="inlineStr">
        <x:is>
          <x:t xml:space="preserve">Noted sir, still waiting for information from the agent, and proceeding slow to the anchorage area.</x:t>
        </x:is>
      </x:c>
    </x:row>
    <x:row r="59">
      <x:c r="A59" s="3" t="inlineStr">
        <x:is>
          <x:t xml:space="preserve">TR3</x:t>
        </x:is>
      </x:c>
      <x:c r="B59" s="4" t="n">
        <x:v>46069.29166666666</x:v>
      </x:c>
      <x:c r="C59" s="3" t="inlineStr">
        <x:is>
          <x:t xml:space="preserve">LCT Bushra</x:t>
        </x:is>
      </x:c>
      <x:c r="D59" s="3" t="inlineStr">
        <x:is>
          <x:t xml:space="preserve">Mr @⁨Offco Support Log⁩ @⁨OFCO DAS GOpal⁩ @⁨OFCO Sathyan⁩ @@⁨Nanda kumar⁩ 
Just calling Zayed VTS, asking submit a new drop anchor request at Mina Zayed anchorage.
Until now the weather not save for us to keep slowly sailing.</x:t>
        </x:is>
      </x:c>
    </x:row>
    <x:row r="60">
      <x:c r="A60" s="3" t="inlineStr">
        <x:is>
          <x:t xml:space="preserve">TR3</x:t>
        </x:is>
      </x:c>
      <x:c r="B60" s="4" t="n">
        <x:v>46069.30625</x:v>
      </x:c>
      <x:c r="C60" s="3" t="inlineStr">
        <x:is>
          <x:t xml:space="preserve">상욱</x:t>
        </x:is>
      </x:c>
      <x:c r="D60" s="3" t="inlineStr">
        <x:is>
          <x:t xml:space="preserve">Plan.change.
17..pm hrs..berthing
18..Loadout.</x:t>
        </x:is>
      </x:c>
    </x:row>
    <x:row r="61">
      <x:c r="A61" s="3" t="inlineStr">
        <x:is>
          <x:t xml:space="preserve">TR3</x:t>
        </x:is>
      </x:c>
      <x:c r="B61" s="4" t="n">
        <x:v>46069.34583333333</x:v>
      </x:c>
      <x:c r="C61" s="3" t="inlineStr">
        <x:is>
          <x:t xml:space="preserve">LCT Bushra</x:t>
        </x:is>
      </x:c>
      <x:c r="D61" s="3" t="inlineStr">
        <x:is>
          <x:t xml:space="preserve">Good morning,
LCT Bushra 16/02/2025 0806hrs drop anchor at MZ anchorage.
Strong wind &amp; rough sea.
Thank you</x:t>
        </x:is>
      </x:c>
    </x:row>
    <x:row r="62">
      <x:c r="A62" s="3" t="inlineStr">
        <x:is>
          <x:t xml:space="preserve">TR3</x:t>
        </x:is>
      </x:c>
      <x:c r="B62" s="4" t="n">
        <x:v>46069.75208333333</x:v>
      </x:c>
      <x:c r="C62" s="3" t="inlineStr">
        <x:is>
          <x:t xml:space="preserve">Yulia MAMMOET</x:t>
        </x:is>
      </x:c>
      <x:c r="D62" s="3" t="inlineStr">
        <x:is>
          <x:t xml:space="preserve">Dears, 
Please, confirm LCT Bushra’s berthing.</x:t>
        </x:is>
      </x:c>
    </x:row>
    <x:row r="63">
      <x:c r="A63" s="3" t="inlineStr">
        <x:is>
          <x:t xml:space="preserve">TR3</x:t>
        </x:is>
      </x:c>
      <x:c r="B63" s="4" t="n">
        <x:v>46069.76111111111</x:v>
      </x:c>
      <x:c r="C63" s="3" t="inlineStr">
        <x:is>
          <x:t xml:space="preserve">CHA</x:t>
        </x:is>
      </x:c>
      <x:c r="D63" s="3" t="inlineStr">
        <x:is>
          <x:t xml:space="preserve">As of now, the berthing is not yet confirmed. It will depend on the weather conditions.</x:t>
        </x:is>
      </x:c>
    </x:row>
    <x:row r="64">
      <x:c r="A64" s="3" t="inlineStr">
        <x:is>
          <x:t xml:space="preserve">TR3</x:t>
        </x:is>
      </x:c>
      <x:c r="B64" s="4" t="n">
        <x:v>46069.81527777778</x:v>
      </x:c>
      <x:c r="C64" s="3" t="inlineStr">
        <x:is>
          <x:t xml:space="preserve">Yulia MAMMOET</x:t>
        </x:is>
      </x:c>
      <x:c r="D64" s="3" t="inlineStr">
        <x:is>
          <x:t xml:space="preserve">Dear Team, since it is still unknown what time LCT Bushra will berth, please, be informed, that all operations with 3rd TR Unit will be scheduled for 18th of February. 
1. Offloading of LCT (linkspan, transport beams)
2. ⁠Beam replacement for TR 3
3. ⁠Linkspan installation 
Load out subject to preparations progress and weather conditions.</x:t>
        </x:is>
      </x:c>
    </x:row>
    <x:row r="65">
      <x:c r="A65" s="3" t="inlineStr">
        <x:is>
          <x:t xml:space="preserve">TR3</x:t>
        </x:is>
      </x:c>
      <x:c r="B65" s="4" t="n">
        <x:v>46069.81597222222</x:v>
      </x:c>
      <x:c r="C65" s="3" t="inlineStr">
        <x:is>
          <x:t xml:space="preserve">Yulia MAMMOET</x:t>
        </x:is>
      </x:c>
      <x:c r="D65" s="3" t="inlineStr">
        <x:is>
          <x:t xml:space="preserve">Tide window on 18.02.2026:
13:00-14:00</x:t>
        </x:is>
      </x:c>
    </x:row>
    <x:row r="66">
      <x:c r="A66" s="3" t="inlineStr">
        <x:is>
          <x:t xml:space="preserve">TR3</x:t>
        </x:is>
      </x:c>
      <x:c r="B66" s="4" t="n">
        <x:v>46070.59722222222</x:v>
      </x:c>
      <x:c r="C66" s="3" t="inlineStr">
        <x:is>
          <x:t xml:space="preserve">상욱</x:t>
        </x:is>
      </x:c>
      <x:c r="D66" s="3" t="inlineStr">
        <x:is>
          <x:t xml:space="preserve">Bushra. secured berth.
FW fu..pls</x:t>
        </x:is>
      </x:c>
    </x:row>
  </x:sheetData>
  <x:pageMargins left="0.7" right="0.7" top="0.75" bottom="0.75" header="0.3" footer="0.3"/>
  <x:tableParts count="1">
    <x:tablePart xmlns:r="http://schemas.openxmlformats.org/officeDocument/2006/relationships" r:id="R2138460136854c36"/>
  </x:tableParts>
</x:worksheet>
</file>

<file path=xl/worksheets/sheet5.xml><?xml version="1.0" encoding="utf-8"?>
<x:worksheet xmlns:x="http://schemas.openxmlformats.org/spreadsheetml/2006/main">
  <x:sheetFormatPr defaultRowHeight="15"/>
  <x:cols>
    <x:col min="1" max="1" width="6" customWidth="1"/>
    <x:col min="2" max="2" width="20" customWidth="1"/>
    <x:col min="3" max="3" width="21" customWidth="1"/>
    <x:col min="4" max="4" width="21" customWidth="1"/>
    <x:col min="5" max="5" width="21" customWidth="1"/>
    <x:col min="6" max="6" width="21" customWidth="1"/>
    <x:col min="7" max="7" width="22" customWidth="1"/>
  </x:cols>
  <x:sheetData>
    <x:row r="1">
      <x:c r="A1" s="2" t="inlineStr">
        <x:is>
          <x:t xml:space="preserve">Trip</x:t>
        </x:is>
      </x:c>
      <x:c r="B1" s="2" t="inlineStr">
        <x:is>
          <x:t xml:space="preserve">Milestone</x:t>
        </x:is>
      </x:c>
      <x:c r="C1" s="2" t="inlineStr">
        <x:is>
          <x:t xml:space="preserve">Origin_Plan</x:t>
        </x:is>
      </x:c>
      <x:c r="D1" s="2" t="inlineStr">
        <x:is>
          <x:t xml:space="preserve">Final_Plan</x:t>
        </x:is>
      </x:c>
      <x:c r="E1" s="2" t="inlineStr">
        <x:is>
          <x:t xml:space="preserve">Actual_or_Forecast</x:t>
        </x:is>
      </x:c>
      <x:c r="F1" s="2" t="inlineStr">
        <x:is>
          <x:t xml:space="preserve">Var_vs_Origin_days</x:t>
        </x:is>
      </x:c>
      <x:c r="G1" s="2" t="inlineStr">
        <x:is>
          <x:t xml:space="preserve">Var_vs_Final_days</x:t>
        </x:is>
      </x:c>
    </x:row>
    <x:row r="2">
      <x:c r="A2" s="3" t="inlineStr">
        <x:is>
          <x:t xml:space="preserve">TR1</x:t>
        </x:is>
      </x:c>
      <x:c r="B2" s="3" t="inlineStr">
        <x:is>
          <x:t xml:space="preserve">AGI_CastOff_Return</x:t>
        </x:is>
      </x:c>
      <x:c r="C2" s="4" t="n">
        <x:v>46059</x:v>
      </x:c>
      <x:c r="D2" s="4" t="n">
        <x:v>46057</x:v>
      </x:c>
      <x:c r="E2" s="4" t="n">
        <x:v>46061.60972222222</x:v>
      </x:c>
      <x:c r="F2" s="5" t="n">
        <x:v>2.609722222222222</x:v>
      </x:c>
      <x:c r="G2" s="5" t="n">
        <x:v>4.609722222222222</x:v>
      </x:c>
    </x:row>
    <x:row r="3">
      <x:c r="A3" s="3" t="inlineStr">
        <x:is>
          <x:t xml:space="preserve">TR1</x:t>
        </x:is>
      </x:c>
      <x:c r="B3" s="3" t="inlineStr">
        <x:is>
          <x:t xml:space="preserve">LoadIn</x:t>
        </x:is>
      </x:c>
      <x:c r="C3" s="4" t="n">
        <x:v>46058</x:v>
      </x:c>
      <x:c r="D3" s="4" t="n">
        <x:v>46056</x:v>
      </x:c>
      <x:c r="E3" s="4" t="n">
        <x:v>46060.36597222222</x:v>
      </x:c>
      <x:c r="F3" s="5" t="n">
        <x:v>2.365972222222222</x:v>
      </x:c>
      <x:c r="G3" s="5" t="n">
        <x:v>4.365972222222222</x:v>
      </x:c>
    </x:row>
    <x:row r="4">
      <x:c r="A4" s="3" t="inlineStr">
        <x:is>
          <x:t xml:space="preserve">TR1</x:t>
        </x:is>
      </x:c>
      <x:c r="B4" s="3" t="inlineStr">
        <x:is>
          <x:t xml:space="preserve">SailAway</x:t>
        </x:is>
      </x:c>
      <x:c r="C4" s="4" t="n">
        <x:v>46056</x:v>
      </x:c>
      <x:c r="D4" s="4" t="n">
        <x:v>46054</x:v>
      </x:c>
      <x:c r="E4" s="4" t="n">
        <x:v>46053.85833333333</x:v>
      </x:c>
      <x:c r="F4" s="5" t="n">
        <x:v>-2.141666666666667</x:v>
      </x:c>
      <x:c r="G4" s="5" t="n">
        <x:v>-0.1416666666666667</x:v>
      </x:c>
    </x:row>
    <x:row r="5">
      <x:c r="A5" s="3" t="inlineStr">
        <x:is>
          <x:t xml:space="preserve">TR2</x:t>
        </x:is>
      </x:c>
      <x:c r="B5" s="3" t="inlineStr">
        <x:is>
          <x:t xml:space="preserve">AGI_CastOff_Return</x:t>
        </x:is>
      </x:c>
      <x:c r="C5" s="4" t="n">
        <x:v>46066</x:v>
      </x:c>
      <x:c r="D5" s="4" t="n">
        <x:v>46064</x:v>
      </x:c>
      <x:c r="E5" s="4" t="n">
        <x:v>46066.65416666667</x:v>
      </x:c>
      <x:c r="F5" s="5" t="n">
        <x:v>0.6541666666666667</x:v>
      </x:c>
      <x:c r="G5" s="5" t="n">
        <x:v>2.654166666666667</x:v>
      </x:c>
    </x:row>
    <x:row r="6">
      <x:c r="A6" s="3" t="inlineStr">
        <x:is>
          <x:t xml:space="preserve">TR2</x:t>
        </x:is>
      </x:c>
      <x:c r="B6" s="3" t="inlineStr">
        <x:is>
          <x:t xml:space="preserve">LoadIn</x:t>
        </x:is>
      </x:c>
      <x:c r="C6" s="4" t="n">
        <x:v>46065</x:v>
      </x:c>
      <x:c r="D6" s="4" t="n">
        <x:v>46063</x:v>
      </x:c>
      <x:c r="E6" s="4" t="n">
        <x:v>46066.60416666666</x:v>
      </x:c>
      <x:c r="F6" s="5" t="n">
        <x:v>1.604166666666667</x:v>
      </x:c>
      <x:c r="G6" s="5" t="n">
        <x:v>3.604166666666667</x:v>
      </x:c>
    </x:row>
    <x:row r="7">
      <x:c r="A7" s="3" t="inlineStr">
        <x:is>
          <x:t xml:space="preserve">TR2</x:t>
        </x:is>
      </x:c>
      <x:c r="B7" s="3" t="inlineStr">
        <x:is>
          <x:t xml:space="preserve">SailAway</x:t>
        </x:is>
      </x:c>
      <x:c r="C7" s="4" t="n">
        <x:v>46063</x:v>
      </x:c>
      <x:c r="D7" s="4" t="n">
        <x:v>46061</x:v>
      </x:c>
      <x:c r="E7" s="4" t="n">
        <x:v>46065.625</x:v>
      </x:c>
      <x:c r="F7" s="5" t="n">
        <x:v>2.625</x:v>
      </x:c>
      <x:c r="G7" s="5" t="n">
        <x:v>4.625</x:v>
      </x:c>
    </x:row>
    <x:row r="8">
      <x:c r="A8" s="3" t="inlineStr">
        <x:is>
          <x:t xml:space="preserve">TR3</x:t>
        </x:is>
      </x:c>
      <x:c r="B8" s="3" t="inlineStr">
        <x:is>
          <x:t xml:space="preserve">AGI_CastOff_Return</x:t>
        </x:is>
      </x:c>
      <x:c r="C8" s="4" t="n">
        <x:v>46073</x:v>
      </x:c>
      <x:c r="D8" s="4" t="n">
        <x:v>46073</x:v>
      </x:c>
      <x:c r="E8" s="4" t="n">
        <x:v>46074.52916666667</x:v>
      </x:c>
      <x:c r="F8" s="5" t="n">
        <x:v>1.529166666666667</x:v>
      </x:c>
      <x:c r="G8" s="5" t="n">
        <x:v>1.529166666666667</x:v>
      </x:c>
    </x:row>
    <x:row r="9">
      <x:c r="A9" s="3" t="inlineStr">
        <x:is>
          <x:t xml:space="preserve">TR3</x:t>
        </x:is>
      </x:c>
      <x:c r="B9" s="3" t="inlineStr">
        <x:is>
          <x:t xml:space="preserve">SailAway</x:t>
        </x:is>
      </x:c>
      <x:c r="C9" s="4" t="n">
        <x:v>46070</x:v>
      </x:c>
      <x:c r="D9" s="4" t="n">
        <x:v>46072</x:v>
      </x:c>
      <x:c r="E9" s="4" t="n">
        <x:v>46072.125</x:v>
      </x:c>
      <x:c r="F9" s="5" t="n">
        <x:v>2.125</x:v>
      </x:c>
      <x:c r="G9" s="5" t="n">
        <x:v>0.125</x:v>
      </x:c>
    </x:row>
  </x:sheetData>
  <x:pageMargins left="0.7" right="0.7" top="0.75" bottom="0.75" header="0.3" footer="0.3"/>
  <x:tableParts count="1">
    <x:tablePart xmlns:r="http://schemas.openxmlformats.org/officeDocument/2006/relationships" r:id="Rb4f23aafa2df478d"/>
  </x:tableParts>
</x:worksheet>
</file>

<file path=xl/worksheets/sheet6.xml><?xml version="1.0" encoding="utf-8"?>
<x:worksheet xmlns:x="http://schemas.openxmlformats.org/spreadsheetml/2006/main">
  <x:sheetFormatPr defaultRowHeight="15"/>
  <x:cols>
    <x:col min="1" max="1" width="6" customWidth="1"/>
    <x:col min="2" max="2" width="60" customWidth="1"/>
    <x:col min="3" max="3" width="29" customWidth="1"/>
    <x:col min="4" max="4" width="29" customWidth="1"/>
    <x:col min="5" max="5" width="29" customWidth="1"/>
    <x:col min="6" max="6" width="29" customWidth="1"/>
    <x:col min="7" max="7" width="22" customWidth="1"/>
    <x:col min="8" max="8" width="15" customWidth="1"/>
    <x:col min="9" max="9" width="16" customWidth="1"/>
    <x:col min="10" max="10" width="14" customWidth="1"/>
    <x:col min="11" max="11" width="21" customWidth="1"/>
    <x:col min="12" max="12" width="21" customWidth="1"/>
    <x:col min="13" max="13" width="21" customWidth="1"/>
    <x:col min="14" max="14" width="27" customWidth="1"/>
    <x:col min="15" max="15" width="26" customWidth="1"/>
  </x:cols>
  <x:sheetData>
    <x:row r="1">
      <x:c r="A1" s="2" t="inlineStr">
        <x:is>
          <x:t xml:space="preserve">Unit</x:t>
        </x:is>
      </x:c>
      <x:c r="B1" s="2" t="inlineStr">
        <x:is>
          <x:t xml:space="preserve">MZP_Secured</x:t>
        </x:is>
      </x:c>
      <x:c r="C1" s="2" t="inlineStr">
        <x:is>
          <x:t xml:space="preserve">MZP_ETD</x:t>
        </x:is>
      </x:c>
      <x:c r="D1" s="2" t="inlineStr">
        <x:is>
          <x:t xml:space="preserve">AGI_ETA</x:t>
        </x:is>
      </x:c>
      <x:c r="E1" s="2" t="inlineStr">
        <x:is>
          <x:t xml:space="preserve">AGI_CastOff_Return</x:t>
        </x:is>
      </x:c>
      <x:c r="F1" s="2" t="inlineStr">
        <x:is>
          <x:t xml:space="preserve">Next_MZP_Secured</x:t>
        </x:is>
      </x:c>
      <x:c r="G1" s="2" t="inlineStr">
        <x:is>
          <x:t xml:space="preserve">Assumed_LoadIn_Start</x:t>
        </x:is>
      </x:c>
      <x:c r="H1" s="2" t="inlineStr">
        <x:is>
          <x:t xml:space="preserve">Turning_Start</x:t>
        </x:is>
      </x:c>
      <x:c r="I1" s="2" t="inlineStr">
        <x:is>
          <x:t xml:space="preserve">Turning_Finish</x:t>
        </x:is>
      </x:c>
      <x:c r="J1" s="2" t="inlineStr">
        <x:is>
          <x:t xml:space="preserve">Jacking_Down</x:t>
        </x:is>
      </x:c>
      <x:c r="K1" s="2" t="inlineStr">
        <x:is>
          <x:t xml:space="preserve">Orig_SailAway</x:t>
        </x:is>
      </x:c>
      <x:c r="L1" s="2" t="inlineStr">
        <x:is>
          <x:t xml:space="preserve">Orig_LoadIn</x:t>
        </x:is>
      </x:c>
      <x:c r="M1" s="2" t="inlineStr">
        <x:is>
          <x:t xml:space="preserve">Orig_Jacking</x:t>
        </x:is>
      </x:c>
      <x:c r="N1" s="2" t="inlineStr">
        <x:is>
          <x:t xml:space="preserve">Var_SailAway_vs_Orig_days</x:t>
        </x:is>
      </x:c>
      <x:c r="O1" s="2" t="inlineStr">
        <x:is>
          <x:t xml:space="preserve">Var_Jacking_vs_Orig_days</x:t>
        </x:is>
      </x:c>
    </x:row>
    <x:row r="2">
      <x:c r="A2" s="3" t="n">
        <x:v>4</x:v>
      </x:c>
      <x:c r="B2" s="4">
        <x:f>'01_Assumptions'!$B$2 + '01_Assumptions'!$B$4 + '01_Assumptions'!$B$3 + '01_Assumptions'!$B$5</x:f>
        <x:v>46077.140972222216</x:v>
      </x:c>
      <x:c r="C2" s="4">
        <x:f>B2 + '01_Assumptions'!$B$6</x:f>
        <x:v>46079.936342592584</x:v>
      </x:c>
      <x:c r="D2" s="4">
        <x:f>C2 + '01_Assumptions'!$B$4</x:f>
        <x:v>46080.340509259244</x:v>
      </x:c>
      <x:c r="E2" s="4">
        <x:f>D2 + '01_Assumptions'!$B$3</x:f>
        <x:v>46082.340509259244</x:v>
      </x:c>
      <x:c r="F2" s="4">
        <x:f>E2 + '01_Assumptions'!$B$5</x:f>
        <x:v>46084.9523148148</x:v>
      </x:c>
      <x:c r="G2" s="8">
        <x:f>INT(C2+2)</x:f>
        <x:v>46081</x:v>
      </x:c>
      <x:c r="H2" s="8">
        <x:f>G2+2</x:f>
        <x:v>46083</x:v>
      </x:c>
      <x:c r="I2" s="8">
        <x:f>G2+4</x:f>
        <x:v>46085</x:v>
      </x:c>
      <x:c r="J2" s="8">
        <x:f>G2+5</x:f>
        <x:v>46086</x:v>
      </x:c>
      <x:c r="K2" s="4" t="n">
        <x:v>46077</x:v>
      </x:c>
      <x:c r="L2" s="8" t="n">
        <x:v>46079</x:v>
      </x:c>
      <x:c r="M2" s="8" t="n">
        <x:v>46084</x:v>
      </x:c>
      <x:c r="N2" s="5">
        <x:f>(C2-K2)</x:f>
        <x:v>2.9363425925839692</x:v>
      </x:c>
      <x:c r="O2" s="5">
        <x:f>(J2-M2)</x:f>
        <x:v>2</x:v>
      </x:c>
    </x:row>
    <x:row r="3">
      <x:c r="A3" s="3" t="n">
        <x:v>5</x:v>
      </x:c>
      <x:c r="B3" s="4">
        <x:f>F2</x:f>
        <x:v>46084.9523148148</x:v>
      </x:c>
      <x:c r="C3" s="4">
        <x:f>B3 + '01_Assumptions'!$B$6</x:f>
        <x:v>46087.74768518517</x:v>
      </x:c>
      <x:c r="D3" s="4">
        <x:f>C3 + '01_Assumptions'!$B$4</x:f>
        <x:v>46088.15185185183</x:v>
      </x:c>
      <x:c r="E3" s="4">
        <x:f>D3 + '01_Assumptions'!$B$3</x:f>
        <x:v>46090.15185185183</x:v>
      </x:c>
      <x:c r="F3" s="4">
        <x:f>E3 + '01_Assumptions'!$B$5</x:f>
        <x:v>46092.763657407384</x:v>
      </x:c>
      <x:c r="G3" s="8">
        <x:f>INT(C3+2)</x:f>
        <x:v>46089</x:v>
      </x:c>
      <x:c r="H3" s="8">
        <x:f>G3+2</x:f>
        <x:v>46091</x:v>
      </x:c>
      <x:c r="I3" s="8">
        <x:f>G3+4</x:f>
        <x:v>46093</x:v>
      </x:c>
      <x:c r="J3" s="8">
        <x:f>G3+5</x:f>
        <x:v>46094</x:v>
      </x:c>
      <x:c r="K3" s="4" t="n">
        <x:v>46084</x:v>
      </x:c>
      <x:c r="L3" s="8" t="n">
        <x:v>46086</x:v>
      </x:c>
      <x:c r="M3" s="8" t="n">
        <x:v>46091</x:v>
      </x:c>
      <x:c r="N3" s="5">
        <x:f>(C3-K3)</x:f>
        <x:v>3.7476851851679385</x:v>
      </x:c>
      <x:c r="O3" s="5">
        <x:f>(J3-M3)</x:f>
        <x:v>3</x:v>
      </x:c>
    </x:row>
    <x:row r="4">
      <x:c r="A4" s="3" t="n">
        <x:v>6</x:v>
      </x:c>
      <x:c r="B4" s="4">
        <x:f>F3</x:f>
        <x:v>46092.763657407384</x:v>
      </x:c>
      <x:c r="C4" s="4">
        <x:f>B4 + '01_Assumptions'!$B$6</x:f>
        <x:v>46095.55902777775</x:v>
      </x:c>
      <x:c r="D4" s="4">
        <x:f>C4 + '01_Assumptions'!$B$4</x:f>
        <x:v>46095.96319444441</x:v>
      </x:c>
      <x:c r="E4" s="4">
        <x:f>D4 + '01_Assumptions'!$B$3</x:f>
        <x:v>46097.96319444441</x:v>
      </x:c>
      <x:c r="F4" s="4">
        <x:f>E4 + '01_Assumptions'!$B$5</x:f>
        <x:v>46100.57499999997</x:v>
      </x:c>
      <x:c r="G4" s="8">
        <x:f>INT(C4+2)</x:f>
        <x:v>46097</x:v>
      </x:c>
      <x:c r="H4" s="8">
        <x:f>G4+2</x:f>
        <x:v>46099</x:v>
      </x:c>
      <x:c r="I4" s="8">
        <x:f>G4+4</x:f>
        <x:v>46101</x:v>
      </x:c>
      <x:c r="J4" s="8">
        <x:f>G4+5</x:f>
        <x:v>46102</x:v>
      </x:c>
      <x:c r="K4" s="4" t="n">
        <x:v>46092</x:v>
      </x:c>
      <x:c r="L4" s="8" t="n">
        <x:v>46093</x:v>
      </x:c>
      <x:c r="M4" s="8" t="n">
        <x:v>46098</x:v>
      </x:c>
      <x:c r="N4" s="5">
        <x:f>(C4-K4)</x:f>
        <x:v>3.5590277777519077</x:v>
      </x:c>
      <x:c r="O4" s="5">
        <x:f>(J4-M4)</x:f>
        <x:v>4</x:v>
      </x:c>
    </x:row>
    <x:row r="5">
      <x:c r="A5" s="3" t="n">
        <x:v>7</x:v>
      </x:c>
      <x:c r="B5" s="4">
        <x:f>F4</x:f>
        <x:v>46100.57499999997</x:v>
      </x:c>
      <x:c r="C5" s="4">
        <x:f>B5 + '01_Assumptions'!$B$6</x:f>
        <x:v>46103.370370370336</x:v>
      </x:c>
      <x:c r="D5" s="4">
        <x:f>C5 + '01_Assumptions'!$B$4</x:f>
        <x:v>46103.774537036996</x:v>
      </x:c>
      <x:c r="E5" s="4">
        <x:f>D5 + '01_Assumptions'!$B$3</x:f>
        <x:v>46105.774537036996</x:v>
      </x:c>
      <x:c r="F5" s="4" t="inlineStr">
        <x:is>
          <x:t xml:space="preserve"/>
        </x:is>
      </x:c>
      <x:c r="G5" s="8">
        <x:f>INT(C5+2)</x:f>
        <x:v>46105</x:v>
      </x:c>
      <x:c r="H5" s="8">
        <x:f>G5+2</x:f>
        <x:v>46107</x:v>
      </x:c>
      <x:c r="I5" s="8">
        <x:f>G5+4</x:f>
        <x:v>46109</x:v>
      </x:c>
      <x:c r="J5" s="8">
        <x:f>G5+5</x:f>
        <x:v>46110</x:v>
      </x:c>
      <x:c r="K5" s="4" t="n">
        <x:v>46098</x:v>
      </x:c>
      <x:c r="L5" s="8" t="n">
        <x:v>46100</x:v>
      </x:c>
      <x:c r="M5" s="8" t="n">
        <x:v>46105</x:v>
      </x:c>
      <x:c r="N5" s="5">
        <x:f>(C5-K5)</x:f>
        <x:v>5.370370370335877</x:v>
      </x:c>
      <x:c r="O5" s="5">
        <x:f>(J5-M5)</x:f>
        <x:v>5</x:v>
      </x:c>
    </x:row>
  </x:sheetData>
  <x:pageMargins left="0.7" right="0.7" top="0.75" bottom="0.75" header="0.3" footer="0.3"/>
  <x:tableParts count="1">
    <x:tablePart xmlns:r="http://schemas.openxmlformats.org/officeDocument/2006/relationships" r:id="R67e32c5c4ae7494c"/>
  </x:tableParts>
</x:worksheet>
</file>

<file path=xl/worksheets/sheet7.xml><?xml version="1.0" encoding="utf-8"?>
<x:worksheet xmlns:x="http://schemas.openxmlformats.org/spreadsheetml/2006/main">
  <x:sheetFormatPr defaultRowHeight="15"/>
  <x:cols>
    <x:col min="1" max="1" width="6" customWidth="1"/>
    <x:col min="2" max="2" width="21" customWidth="1"/>
    <x:col min="3" max="3" width="29" customWidth="1"/>
    <x:col min="4" max="4" width="21" customWidth="1"/>
    <x:col min="5" max="5" width="21" customWidth="1"/>
    <x:col min="6" max="6" width="28" customWidth="1"/>
    <x:col min="7" max="7" width="18" customWidth="1"/>
    <x:col min="8" max="8" width="27" customWidth="1"/>
  </x:cols>
  <x:sheetData>
    <x:row r="1">
      <x:c r="A1" s="2" t="inlineStr">
        <x:is>
          <x:t xml:space="preserve">Unit</x:t>
        </x:is>
      </x:c>
      <x:c r="B1" s="2" t="inlineStr">
        <x:is>
          <x:t xml:space="preserve">Orig_SailAway</x:t>
        </x:is>
      </x:c>
      <x:c r="C1" s="2" t="inlineStr">
        <x:is>
          <x:t xml:space="preserve">Actual_or_Forecast_SailAway</x:t>
        </x:is>
      </x:c>
      <x:c r="D1" s="2" t="inlineStr">
        <x:is>
          <x:t xml:space="preserve">Var_SailAway_days</x:t>
        </x:is>
      </x:c>
      <x:c r="E1" s="2" t="inlineStr">
        <x:is>
          <x:t xml:space="preserve">Orig_Jacking</x:t>
        </x:is>
      </x:c>
      <x:c r="F1" s="2" t="inlineStr">
        <x:is>
          <x:t xml:space="preserve">Actual_or_Forecast_Jacking</x:t>
        </x:is>
      </x:c>
      <x:c r="G1" s="2" t="inlineStr">
        <x:is>
          <x:t xml:space="preserve">Var_Jacking_days</x:t>
        </x:is>
      </x:c>
      <x:c r="H1" s="2" t="inlineStr">
        <x:is>
          <x:t xml:space="preserve">Buffer_to_OrigFinish_days</x:t>
        </x:is>
      </x:c>
    </x:row>
    <x:row r="2">
      <x:c r="A2" s="3" t="n">
        <x:v>1</x:v>
      </x:c>
      <x:c r="B2" s="4" t="n">
        <x:v>46056</x:v>
      </x:c>
      <x:c r="C2" s="4" t="n">
        <x:v>46053.85833333333</x:v>
      </x:c>
      <x:c r="D2" s="5" t="n">
        <x:v>-2.141666666666667</x:v>
      </x:c>
      <x:c r="E2" s="8" t="n">
        <x:v>46063</x:v>
      </x:c>
      <x:c r="F2" s="8" t="n">
        <x:v>46065</x:v>
      </x:c>
      <x:c r="G2" s="5" t="n">
        <x:v>2</x:v>
      </x:c>
      <x:c r="H2" s="9" t="n">
        <x:v>40</x:v>
      </x:c>
    </x:row>
    <x:row r="3">
      <x:c r="A3" s="3" t="n">
        <x:v>2</x:v>
      </x:c>
      <x:c r="B3" s="4" t="n">
        <x:v>46063</x:v>
      </x:c>
      <x:c r="C3" s="4" t="n">
        <x:v>46065.625</x:v>
      </x:c>
      <x:c r="D3" s="5" t="n">
        <x:v>2.625</x:v>
      </x:c>
      <x:c r="E3" s="8" t="n">
        <x:v>46070</x:v>
      </x:c>
      <x:c r="F3" s="8" t="n">
        <x:v>46071</x:v>
      </x:c>
      <x:c r="G3" s="5" t="n">
        <x:v>1</x:v>
      </x:c>
      <x:c r="H3" s="9" t="n">
        <x:v>34</x:v>
      </x:c>
    </x:row>
    <x:row r="4">
      <x:c r="A4" s="3" t="n">
        <x:v>3</x:v>
      </x:c>
      <x:c r="B4" s="4" t="n">
        <x:v>46070</x:v>
      </x:c>
      <x:c r="C4" s="4" t="n">
        <x:v>46072.125</x:v>
      </x:c>
      <x:c r="D4" s="5" t="n">
        <x:v>2.125</x:v>
      </x:c>
      <x:c r="E4" s="8" t="n">
        <x:v>46077</x:v>
      </x:c>
      <x:c r="F4" s="8" t="n">
        <x:v>46079</x:v>
      </x:c>
      <x:c r="G4" s="5" t="n">
        <x:v>2</x:v>
      </x:c>
      <x:c r="H4" s="9" t="n">
        <x:v>26</x:v>
      </x:c>
    </x:row>
    <x:row r="5">
      <x:c r="A5" s="3" t="n">
        <x:v>4</x:v>
      </x:c>
      <x:c r="B5" s="4" t="n">
        <x:v>46077</x:v>
      </x:c>
      <x:c r="C5" s="4" t="n">
        <x:v>46079.93634259259</x:v>
      </x:c>
      <x:c r="D5" s="5" t="n">
        <x:v>2.936342592592593</x:v>
      </x:c>
      <x:c r="E5" s="8" t="n">
        <x:v>46084</x:v>
      </x:c>
      <x:c r="F5" s="8" t="n">
        <x:v>46086</x:v>
      </x:c>
      <x:c r="G5" s="5" t="n">
        <x:v>2</x:v>
      </x:c>
      <x:c r="H5" s="9" t="n">
        <x:v>19</x:v>
      </x:c>
    </x:row>
    <x:row r="6">
      <x:c r="A6" s="3" t="n">
        <x:v>5</x:v>
      </x:c>
      <x:c r="B6" s="4" t="n">
        <x:v>46084</x:v>
      </x:c>
      <x:c r="C6" s="4" t="n">
        <x:v>46087.74768518518</x:v>
      </x:c>
      <x:c r="D6" s="5" t="n">
        <x:v>3.747685185185185</x:v>
      </x:c>
      <x:c r="E6" s="8" t="n">
        <x:v>46091</x:v>
      </x:c>
      <x:c r="F6" s="8" t="n">
        <x:v>46094</x:v>
      </x:c>
      <x:c r="G6" s="5" t="n">
        <x:v>3</x:v>
      </x:c>
      <x:c r="H6" s="9" t="n">
        <x:v>11</x:v>
      </x:c>
    </x:row>
    <x:row r="7">
      <x:c r="A7" s="3" t="n">
        <x:v>6</x:v>
      </x:c>
      <x:c r="B7" s="4" t="n">
        <x:v>46092</x:v>
      </x:c>
      <x:c r="C7" s="4" t="n">
        <x:v>46095.55902777778</x:v>
      </x:c>
      <x:c r="D7" s="5" t="n">
        <x:v>3.559027777777778</x:v>
      </x:c>
      <x:c r="E7" s="8" t="n">
        <x:v>46098</x:v>
      </x:c>
      <x:c r="F7" s="8" t="n">
        <x:v>46102</x:v>
      </x:c>
      <x:c r="G7" s="5" t="n">
        <x:v>4</x:v>
      </x:c>
      <x:c r="H7" s="9" t="n">
        <x:v>3</x:v>
      </x:c>
    </x:row>
    <x:row r="8">
      <x:c r="A8" s="3" t="n">
        <x:v>7</x:v>
      </x:c>
      <x:c r="B8" s="4" t="n">
        <x:v>46098</x:v>
      </x:c>
      <x:c r="C8" s="4" t="n">
        <x:v>46103.37037037037</x:v>
      </x:c>
      <x:c r="D8" s="5" t="n">
        <x:v>5.37037037037037</x:v>
      </x:c>
      <x:c r="E8" s="8" t="n">
        <x:v>46105</x:v>
      </x:c>
      <x:c r="F8" s="8" t="n">
        <x:v>46110</x:v>
      </x:c>
      <x:c r="G8" s="5" t="n">
        <x:v>5</x:v>
      </x:c>
      <x:c r="H8" s="9" t="n">
        <x:v>-5</x:v>
      </x:c>
    </x:row>
  </x:sheetData>
  <x:pageMargins left="0.7" right="0.7" top="0.75" bottom="0.75" header="0.3" footer="0.3"/>
  <x:tableParts count="1">
    <x:tablePart xmlns:r="http://schemas.openxmlformats.org/officeDocument/2006/relationships" r:id="R7d7c88f8814f4fc3"/>
  </x:tableParts>
</x:worksheet>
</file>

<file path=xl/worksheets/sheet8.xml><?xml version="1.0" encoding="utf-8"?>
<x:worksheet xmlns:x="http://schemas.openxmlformats.org/spreadsheetml/2006/main">
  <x:sheetFormatPr defaultRowHeight="15"/>
  <x:cols>
    <x:col min="1" max="1" width="45" customWidth="1"/>
    <x:col min="2" max="2" width="25" customWidth="1"/>
    <x:col min="3" max="3" width="40" customWidth="1"/>
  </x:cols>
  <x:sheetData>
    <x:row r="1">
      <x:c r="A1" s="10" t="inlineStr">
        <x:is>
          <x:t xml:space="preserve">Metric</x:t>
        </x:is>
      </x:c>
      <x:c r="B1" s="10" t="inlineStr">
        <x:is>
          <x:t xml:space="preserve">Value</x:t>
        </x:is>
      </x:c>
      <x:c r="C1" s="10" t="inlineStr">
        <x:is>
          <x:t xml:space="preserve">Notes</x:t>
        </x:is>
      </x:c>
    </x:row>
    <x:row r="2">
      <x:c r="A2" t="inlineStr">
        <x:is>
          <x:t xml:space="preserve">Origin Project Finish (Unit7 Jacking)</x:t>
        </x:is>
      </x:c>
      <x:c r="B2" s="11" t="n">
        <x:v>46105</x:v>
      </x:c>
      <x:c r="C2" t="inlineStr">
        <x:is>
          <x:t xml:space="preserve">From Origin schedule</x:t>
        </x:is>
      </x:c>
    </x:row>
    <x:row r="3">
      <x:c r="A3" t="inlineStr">
        <x:is>
          <x:t xml:space="preserve">Forecast Project Finish (Unit7 Jacking)</x:t>
        </x:is>
      </x:c>
      <x:c r="B3" s="11">
        <x:f>MAX('05_TR4-TR7_Reschedule'!J2:J5)</x:f>
        <x:v>46110</x:v>
      </x:c>
      <x:c r="C3" t="inlineStr">
        <x:is>
          <x:t xml:space="preserve">From Reschedule (avg-based)</x:t>
        </x:is>
      </x:c>
    </x:row>
    <x:row r="4">
      <x:c r="A4" t="inlineStr">
        <x:is>
          <x:t xml:space="preserve">Project Float (days) = Origin - Forecast</x:t>
        </x:is>
      </x:c>
      <x:c r="B4" s="12">
        <x:f>B2-B3</x:f>
        <x:v>-5</x:v>
      </x:c>
      <x:c r="C4" t="inlineStr">
        <x:is>
          <x:t xml:space="preserve">Positive=buffer, Negative=delay</x:t>
        </x:is>
      </x:c>
    </x:row>
  </x:sheetData>
  <x:pageMargins left="0.7" right="0.7" top="0.75" bottom="0.75" header="0.3" footer="0.3"/>
</x:worksheet>
</file>